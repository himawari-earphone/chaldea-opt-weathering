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ldea-me\chaldea-me\"/>
    </mc:Choice>
  </mc:AlternateContent>
  <xr:revisionPtr revIDLastSave="0" documentId="13_ncr:1_{8AF8E625-9005-4E33-8229-2058C9183EC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ster冲9绊" sheetId="1" r:id="rId1"/>
    <sheet name="10绊以上Caster" sheetId="2" r:id="rId2"/>
    <sheet name="Sheet2" sheetId="4" r:id="rId3"/>
    <sheet name="Sheet3" sheetId="5" r:id="rId4"/>
    <sheet name="Sheet1" sheetId="3" r:id="rId5"/>
    <sheet name="Sheet4" sheetId="6" r:id="rId6"/>
  </sheets>
  <definedNames>
    <definedName name="_xlnm._FilterDatabase" localSheetId="1" hidden="1">'10绊以上Caster'!$A$1:$W$14</definedName>
    <definedName name="_xlnm._FilterDatabase" localSheetId="0" hidden="1">Caster冲9绊!$A$1:$P$59</definedName>
    <definedName name="solver_adj" localSheetId="5" hidden="1">Sheet4!$K$8:$K$32,Sheet4!$C$6:$J$6</definedName>
    <definedName name="solver_cvg" localSheetId="5" hidden="1">0.0001</definedName>
    <definedName name="solver_drv" localSheetId="5" hidden="1">1</definedName>
    <definedName name="solver_eng" localSheetId="5" hidden="1">3</definedName>
    <definedName name="solver_est" localSheetId="5" hidden="1">1</definedName>
    <definedName name="solver_itr" localSheetId="5" hidden="1">2147483647</definedName>
    <definedName name="solver_lhs1" localSheetId="5" hidden="1">Sheet4!$C$6:$J$6</definedName>
    <definedName name="solver_lhs2" localSheetId="5" hidden="1">Sheet4!$K$6</definedName>
    <definedName name="solver_lhs3" localSheetId="5" hidden="1">Sheet4!$K$8:$K$32</definedName>
    <definedName name="solver_lhs4" localSheetId="5" hidden="1">Sheet4!$N$4</definedName>
    <definedName name="solver_lhs5" localSheetId="5" hidden="1">Sheet4!$N$6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5</definedName>
    <definedName name="solver_nwt" localSheetId="5" hidden="1">1</definedName>
    <definedName name="solver_opt" localSheetId="5" hidden="1">Sheet4!$N$1</definedName>
    <definedName name="solver_pre" localSheetId="5" hidden="1">0.000001</definedName>
    <definedName name="solver_rbv" localSheetId="5" hidden="1">1</definedName>
    <definedName name="solver_rel1" localSheetId="5" hidden="1">5</definedName>
    <definedName name="solver_rel2" localSheetId="5" hidden="1">2</definedName>
    <definedName name="solver_rel3" localSheetId="5" hidden="1">5</definedName>
    <definedName name="solver_rel4" localSheetId="5" hidden="1">2</definedName>
    <definedName name="solver_rel5" localSheetId="5" hidden="1">1</definedName>
    <definedName name="solver_rhs1" localSheetId="5" hidden="1">"二进制"</definedName>
    <definedName name="solver_rhs2" localSheetId="5" hidden="1">2</definedName>
    <definedName name="solver_rhs3" localSheetId="5" hidden="1">"二进制"</definedName>
    <definedName name="solver_rhs4" localSheetId="5" hidden="1">3</definedName>
    <definedName name="solver_rhs5" localSheetId="5" hidden="1">116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6" l="1" a="1"/>
  <c r="L8" i="6"/>
  <c r="R5" i="6" a="1"/>
  <c r="R5" i="6" s="1"/>
  <c r="R3" i="6" a="1"/>
  <c r="R3" i="6" s="1"/>
  <c r="R4" i="6" a="1"/>
  <c r="R4" i="6" s="1"/>
  <c r="N6" i="6" a="1"/>
  <c r="N6" i="6" s="1"/>
  <c r="N5" i="6" a="1"/>
  <c r="N5" i="6" s="1"/>
  <c r="L14" i="6" s="1" a="1"/>
  <c r="L14" i="6" s="1"/>
  <c r="N4" i="6"/>
  <c r="K6" i="6"/>
  <c r="N14" i="4"/>
  <c r="N8" i="4"/>
  <c r="N2" i="4"/>
  <c r="L4" i="5"/>
  <c r="L5" i="5"/>
  <c r="L6" i="5"/>
  <c r="L7" i="5"/>
  <c r="L8" i="5"/>
  <c r="L3" i="5"/>
  <c r="M3" i="5"/>
  <c r="G4" i="5"/>
  <c r="H4" i="5"/>
  <c r="I4" i="5"/>
  <c r="J4" i="5"/>
  <c r="K4" i="5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K3" i="5"/>
  <c r="J3" i="5"/>
  <c r="I3" i="5"/>
  <c r="H3" i="5"/>
  <c r="G3" i="5"/>
  <c r="A2" i="3"/>
  <c r="A1" i="5"/>
  <c r="B1" i="5"/>
  <c r="C1" i="5" s="1"/>
  <c r="Q7" i="3"/>
  <c r="Q10" i="3" s="1"/>
  <c r="Q13" i="3" s="1"/>
  <c r="R7" i="3"/>
  <c r="R10" i="3" s="1"/>
  <c r="R13" i="3" s="1"/>
  <c r="S7" i="3"/>
  <c r="S10" i="3" s="1"/>
  <c r="S13" i="3" s="1"/>
  <c r="Q8" i="3"/>
  <c r="Q11" i="3" s="1"/>
  <c r="Q14" i="3" s="1"/>
  <c r="R8" i="3"/>
  <c r="R11" i="3" s="1"/>
  <c r="R14" i="3" s="1"/>
  <c r="S8" i="3"/>
  <c r="S11" i="3" s="1"/>
  <c r="S14" i="3" s="1"/>
  <c r="R6" i="3"/>
  <c r="R9" i="3" s="1"/>
  <c r="R12" i="3" s="1"/>
  <c r="S6" i="3"/>
  <c r="S9" i="3" s="1"/>
  <c r="S12" i="3" s="1"/>
  <c r="Q6" i="3"/>
  <c r="Q9" i="3" s="1"/>
  <c r="Q12" i="3" s="1"/>
  <c r="N7" i="3"/>
  <c r="N10" i="3" s="1"/>
  <c r="N13" i="3" s="1"/>
  <c r="O7" i="3"/>
  <c r="O10" i="3" s="1"/>
  <c r="O13" i="3" s="1"/>
  <c r="P7" i="3"/>
  <c r="P10" i="3" s="1"/>
  <c r="P13" i="3" s="1"/>
  <c r="N8" i="3"/>
  <c r="N11" i="3" s="1"/>
  <c r="N14" i="3" s="1"/>
  <c r="O8" i="3"/>
  <c r="O11" i="3" s="1"/>
  <c r="O14" i="3" s="1"/>
  <c r="P8" i="3"/>
  <c r="P11" i="3" s="1"/>
  <c r="P14" i="3" s="1"/>
  <c r="O6" i="3"/>
  <c r="O9" i="3" s="1"/>
  <c r="O12" i="3" s="1"/>
  <c r="P6" i="3"/>
  <c r="P9" i="3" s="1"/>
  <c r="P12" i="3" s="1"/>
  <c r="N6" i="3"/>
  <c r="N9" i="3" s="1"/>
  <c r="N12" i="3" s="1"/>
  <c r="M4" i="3"/>
  <c r="M8" i="3" s="1"/>
  <c r="M11" i="3" s="1"/>
  <c r="M14" i="3" s="1"/>
  <c r="L4" i="3"/>
  <c r="L8" i="3" s="1"/>
  <c r="L11" i="3" s="1"/>
  <c r="L14" i="3" s="1"/>
  <c r="K4" i="3"/>
  <c r="K8" i="3" s="1"/>
  <c r="K11" i="3" s="1"/>
  <c r="K14" i="3" s="1"/>
  <c r="M3" i="3"/>
  <c r="M7" i="3" s="1"/>
  <c r="M10" i="3" s="1"/>
  <c r="M13" i="3" s="1"/>
  <c r="L3" i="3"/>
  <c r="L7" i="3" s="1"/>
  <c r="L10" i="3" s="1"/>
  <c r="L13" i="3" s="1"/>
  <c r="K3" i="3"/>
  <c r="K7" i="3" s="1"/>
  <c r="K10" i="3" s="1"/>
  <c r="K13" i="3" s="1"/>
  <c r="M2" i="3"/>
  <c r="M6" i="3" s="1"/>
  <c r="M9" i="3" s="1"/>
  <c r="M12" i="3" s="1"/>
  <c r="L2" i="3"/>
  <c r="L6" i="3" s="1"/>
  <c r="L9" i="3" s="1"/>
  <c r="L12" i="3" s="1"/>
  <c r="K2" i="3"/>
  <c r="K6" i="3" s="1"/>
  <c r="K9" i="3" s="1"/>
  <c r="K12" i="3" s="1"/>
  <c r="B5" i="3"/>
  <c r="B21" i="3" s="1"/>
  <c r="A1" i="3"/>
  <c r="A3" i="3"/>
  <c r="L13" i="6" l="1" a="1"/>
  <c r="L13" i="6" s="1"/>
  <c r="L11" i="6" a="1"/>
  <c r="L11" i="6" s="1"/>
  <c r="L24" i="6" a="1"/>
  <c r="L24" i="6" s="1"/>
  <c r="L12" i="6" a="1"/>
  <c r="L12" i="6" s="1"/>
  <c r="L25" i="6" a="1"/>
  <c r="L25" i="6" s="1"/>
  <c r="L10" i="6" a="1"/>
  <c r="L10" i="6" s="1"/>
  <c r="L23" i="6" a="1"/>
  <c r="L23" i="6" s="1"/>
  <c r="L9" i="6" a="1"/>
  <c r="L9" i="6" s="1"/>
  <c r="L22" i="6" a="1"/>
  <c r="L22" i="6" s="1"/>
  <c r="L21" i="6" a="1"/>
  <c r="L21" i="6" s="1"/>
  <c r="L32" i="6" a="1"/>
  <c r="L32" i="6" s="1"/>
  <c r="L20" i="6" a="1"/>
  <c r="L20" i="6" s="1"/>
  <c r="L31" i="6" a="1"/>
  <c r="L31" i="6" s="1"/>
  <c r="L19" i="6" a="1"/>
  <c r="L19" i="6" s="1"/>
  <c r="L30" i="6" a="1"/>
  <c r="L30" i="6" s="1"/>
  <c r="L18" i="6" a="1"/>
  <c r="L18" i="6" s="1"/>
  <c r="L29" i="6" a="1"/>
  <c r="L29" i="6" s="1"/>
  <c r="L17" i="6" a="1"/>
  <c r="L17" i="6" s="1"/>
  <c r="L28" i="6" a="1"/>
  <c r="L28" i="6" s="1"/>
  <c r="L16" i="6" a="1"/>
  <c r="L16" i="6" s="1"/>
  <c r="L27" i="6" a="1"/>
  <c r="L27" i="6" s="1"/>
  <c r="L15" i="6" a="1"/>
  <c r="L15" i="6" s="1"/>
  <c r="L26" i="6" a="1"/>
  <c r="L26" i="6" s="1"/>
  <c r="B22" i="3"/>
  <c r="B6" i="3"/>
  <c r="B17" i="3"/>
  <c r="B19" i="3"/>
  <c r="B18" i="3"/>
  <c r="B20" i="3"/>
  <c r="P3" i="6" l="1"/>
  <c r="N9" i="6"/>
  <c r="N8" i="6"/>
  <c r="N28" i="6"/>
  <c r="N27" i="6"/>
  <c r="N31" i="6"/>
  <c r="N14" i="6"/>
  <c r="N10" i="6"/>
  <c r="N21" i="6"/>
  <c r="N13" i="6"/>
  <c r="N16" i="6"/>
  <c r="N15" i="6"/>
  <c r="N26" i="6"/>
  <c r="N23" i="6"/>
  <c r="N30" i="6"/>
  <c r="N18" i="6"/>
  <c r="N25" i="6"/>
  <c r="N20" i="6"/>
  <c r="N12" i="6"/>
  <c r="N32" i="6"/>
  <c r="N11" i="6"/>
  <c r="N19" i="6"/>
  <c r="N29" i="6"/>
  <c r="N22" i="6"/>
  <c r="N17" i="6"/>
  <c r="N24" i="6"/>
  <c r="N3" i="6" l="1"/>
  <c r="N1" i="6" s="1"/>
  <c r="O8" i="6" l="1"/>
  <c r="O10" i="6"/>
  <c r="O32" i="6"/>
  <c r="O19" i="6"/>
  <c r="O31" i="6"/>
  <c r="O18" i="6"/>
  <c r="O26" i="6"/>
  <c r="O14" i="6"/>
  <c r="O13" i="6"/>
  <c r="O25" i="6"/>
  <c r="O12" i="6"/>
  <c r="O11" i="6"/>
  <c r="O9" i="6"/>
  <c r="O17" i="6"/>
  <c r="O16" i="6"/>
  <c r="O28" i="6"/>
  <c r="O22" i="6"/>
  <c r="O30" i="6"/>
  <c r="O29" i="6"/>
  <c r="O15" i="6"/>
  <c r="O21" i="6"/>
  <c r="O24" i="6"/>
  <c r="O23" i="6"/>
  <c r="N2" i="6"/>
  <c r="O27" i="6"/>
  <c r="O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000-000003000000}">
      <text>
        <r>
          <rPr>
            <sz val="8"/>
            <color indexed="81"/>
            <rFont val="Tahoma"/>
            <family val="2"/>
          </rPr>
          <t>异星之神：满破 +20%（该从者满足限定条件时为 1）</t>
        </r>
      </text>
    </comment>
    <comment ref="L1" authorId="0" shapeId="0" xr:uid="{00000000-0006-0000-0000-00000B000000}">
      <text>
        <r>
          <rPr>
            <sz val="8"/>
            <color indexed="81"/>
            <rFont val="Tahoma"/>
            <family val="2"/>
          </rPr>
          <t>迦勒底之人：满破 +20%（该从者满足限定条件时为 1）</t>
        </r>
      </text>
    </comment>
    <comment ref="M1" authorId="0" shapeId="0" xr:uid="{00000000-0006-0000-0000-000005000000}">
      <text>
        <r>
          <rPr>
            <sz val="8"/>
            <color indexed="81"/>
            <rFont val="Tahoma"/>
            <family val="2"/>
          </rPr>
          <t>检查报告：满破 +20%（该从者满足限定条件时为 1）</t>
        </r>
      </text>
    </comment>
    <comment ref="N1" authorId="0" shapeId="0" xr:uid="{00000000-0006-0000-0000-000007000000}">
      <text>
        <r>
          <rPr>
            <sz val="8"/>
            <color indexed="81"/>
            <rFont val="Tahoma"/>
            <family val="2"/>
          </rPr>
          <t>献给幸福的新娘：满破 +20%（该从者满足限定条件时为 1）</t>
        </r>
      </text>
    </comment>
    <comment ref="O1" authorId="0" shapeId="0" xr:uid="{00000000-0006-0000-0000-000009000000}">
      <text>
        <r>
          <rPr>
            <sz val="8"/>
            <color indexed="81"/>
            <rFont val="Tahoma"/>
            <family val="2"/>
          </rPr>
          <t>至诚的一针：满破 +20%（该从者满足限定条件时为 1）</t>
        </r>
      </text>
    </comment>
    <comment ref="P1" authorId="0" shapeId="0" xr:uid="{00000000-0006-0000-0000-00000C000000}">
      <text>
        <r>
          <rPr>
            <sz val="8"/>
            <color indexed="81"/>
            <rFont val="Tahoma"/>
            <family val="2"/>
          </rPr>
          <t>迦勒底之晨：满破 +20%（该从者满足限定条件时为 1）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2C5415F9-19B5-4C74-A455-E50C3482AD8D}">
      <text>
        <r>
          <rPr>
            <sz val="8"/>
            <color indexed="81"/>
            <rFont val="Tahoma"/>
            <family val="2"/>
          </rPr>
          <t>异星之神：满破 +20%（该从者满足限定条件时为 1）</t>
        </r>
      </text>
    </comment>
    <comment ref="F1" authorId="0" shapeId="0" xr:uid="{8C32CFC6-46F9-4087-ADAA-A90642913406}">
      <text>
        <r>
          <rPr>
            <sz val="8"/>
            <color indexed="81"/>
            <rFont val="Tahoma"/>
            <family val="2"/>
          </rPr>
          <t>迦勒底之人：满破 +20%（该从者满足限定条件时为 1）</t>
        </r>
      </text>
    </comment>
    <comment ref="G1" authorId="0" shapeId="0" xr:uid="{36D91C84-727A-44D8-A138-B342CDBDAB36}">
      <text>
        <r>
          <rPr>
            <sz val="8"/>
            <color indexed="81"/>
            <rFont val="Tahoma"/>
            <family val="2"/>
          </rPr>
          <t>检查报告：满破 +20%（该从者满足限定条件时为 1）</t>
        </r>
      </text>
    </comment>
    <comment ref="H1" authorId="0" shapeId="0" xr:uid="{89016480-09AA-425C-8A5D-9A90DC138B54}">
      <text>
        <r>
          <rPr>
            <sz val="8"/>
            <color indexed="81"/>
            <rFont val="Tahoma"/>
            <family val="2"/>
          </rPr>
          <t>献给幸福的新娘：满破 +20%（该从者满足限定条件时为 1）</t>
        </r>
      </text>
    </comment>
    <comment ref="I1" authorId="0" shapeId="0" xr:uid="{410FD40E-1C69-46E4-9674-1924D62F2D7C}">
      <text>
        <r>
          <rPr>
            <sz val="8"/>
            <color indexed="81"/>
            <rFont val="Tahoma"/>
            <family val="2"/>
          </rPr>
          <t>至诚的一针：满破 +20%（该从者满足限定条件时为 1）</t>
        </r>
      </text>
    </comment>
    <comment ref="J1" authorId="0" shapeId="0" xr:uid="{D56057A0-F500-414C-9B7D-3BB5045D83BC}">
      <text>
        <r>
          <rPr>
            <sz val="8"/>
            <color indexed="81"/>
            <rFont val="Tahoma"/>
            <family val="2"/>
          </rPr>
          <t>迦勒底之晨：满破 +20%（该从者满足限定条件时为 1）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1651105-DD62-45EA-9CD4-1E88CEC3F25E}">
      <text>
        <r>
          <rPr>
            <sz val="8"/>
            <color indexed="81"/>
            <rFont val="Tahoma"/>
            <family val="2"/>
          </rPr>
          <t>异星之神：满破 +20%（该从者满足限定条件时为 1）</t>
        </r>
      </text>
    </comment>
    <comment ref="D7" authorId="0" shapeId="0" xr:uid="{3471318F-A281-40DF-9037-1F2842835AC6}">
      <text>
        <r>
          <rPr>
            <sz val="8"/>
            <color indexed="81"/>
            <rFont val="Tahoma"/>
            <family val="2"/>
          </rPr>
          <t>迦勒底之人：满破 +20%（该从者满足限定条件时为 1）</t>
        </r>
      </text>
    </comment>
    <comment ref="E7" authorId="0" shapeId="0" xr:uid="{FE3AB7CA-8F9C-4595-821A-106A408ED7C2}">
      <text>
        <r>
          <rPr>
            <sz val="8"/>
            <color indexed="81"/>
            <rFont val="Tahoma"/>
            <family val="2"/>
          </rPr>
          <t>检查报告：满破 +20%（该从者满足限定条件时为 1）</t>
        </r>
      </text>
    </comment>
    <comment ref="F7" authorId="0" shapeId="0" xr:uid="{4CB12A8C-D96E-472A-A727-DB873A527AB6}">
      <text>
        <r>
          <rPr>
            <sz val="8"/>
            <color indexed="81"/>
            <rFont val="Tahoma"/>
            <family val="2"/>
          </rPr>
          <t>献给幸福的新娘：满破 +20%（该从者满足限定条件时为 1）</t>
        </r>
      </text>
    </comment>
    <comment ref="G7" authorId="0" shapeId="0" xr:uid="{2EB36655-DE73-4712-AC16-87BA0171C3CA}">
      <text>
        <r>
          <rPr>
            <sz val="8"/>
            <color indexed="81"/>
            <rFont val="Tahoma"/>
            <family val="2"/>
          </rPr>
          <t>至诚的一针：满破 +20%（该从者满足限定条件时为 1）</t>
        </r>
      </text>
    </comment>
    <comment ref="H7" authorId="0" shapeId="0" xr:uid="{778B2ABA-B2C3-418E-AF50-5F6AAE7A5CBC}">
      <text>
        <r>
          <rPr>
            <sz val="8"/>
            <color indexed="81"/>
            <rFont val="Tahoma"/>
            <family val="2"/>
          </rPr>
          <t>迦勒底之晨：满破 +20%（该从者满足限定条件时为 1）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<sst xmlns="http://schemas.openxmlformats.org/spreadsheetml/2006/main" count="229" uniqueCount="127">
  <si>
    <t>图鉴号</t>
  </si>
  <si>
    <t>svtId</t>
  </si>
  <si>
    <t>名称</t>
  </si>
  <si>
    <t>星级</t>
  </si>
  <si>
    <t>cost</t>
  </si>
  <si>
    <t>当前绊</t>
  </si>
  <si>
    <t>当前绊点</t>
  </si>
  <si>
    <t>绊9需求</t>
  </si>
  <si>
    <t>距绊9还差</t>
  </si>
  <si>
    <t>已达9绊</t>
  </si>
  <si>
    <t>异星之神</t>
  </si>
  <si>
    <t>检查报告</t>
  </si>
  <si>
    <t>献给幸福的新娘</t>
  </si>
  <si>
    <t>至诚的一针</t>
  </si>
  <si>
    <t>迦勒底之人</t>
  </si>
  <si>
    <t>迦勒底之晨</t>
  </si>
  <si>
    <t>克莱恩小姐</t>
  </si>
  <si>
    <t>否</t>
  </si>
  <si>
    <t>玄奘三藏</t>
  </si>
  <si>
    <t>久远寺有珠</t>
  </si>
  <si>
    <t>示巴女王</t>
  </si>
  <si>
    <t>童谣</t>
  </si>
  <si>
    <t>伊莉雅丝菲尔·冯·爱因兹贝伦</t>
  </si>
  <si>
    <t>山鲁佐德</t>
  </si>
  <si>
    <t>爱丽丝菲尔〔天之衣〕</t>
  </si>
  <si>
    <t>海伦娜·布拉瓦茨基</t>
  </si>
  <si>
    <t>伊丽莎白·巴托里〔万圣节〕</t>
  </si>
  <si>
    <t>夏洛特·科黛</t>
  </si>
  <si>
    <t>酒吞童子</t>
  </si>
  <si>
    <t>武则天</t>
  </si>
  <si>
    <t>吉尔·德·雷</t>
  </si>
  <si>
    <t>梅菲斯托费勒斯</t>
  </si>
  <si>
    <t>玉藻前</t>
  </si>
  <si>
    <t>阿维斯布隆</t>
  </si>
  <si>
    <t>冯·霍恩海姆·帕拉塞尔苏斯</t>
  </si>
  <si>
    <t>查尔斯·巴贝奇</t>
  </si>
  <si>
    <t>杰罗尼莫</t>
  </si>
  <si>
    <t>喀耳刻</t>
  </si>
  <si>
    <t>张角</t>
  </si>
  <si>
    <t>由井正雪</t>
  </si>
  <si>
    <t>雨之魔女梣</t>
  </si>
  <si>
    <t>美狄亚</t>
  </si>
  <si>
    <t>齐格</t>
  </si>
  <si>
    <t>沃尔夫冈·阿马德乌斯·莫扎特</t>
  </si>
  <si>
    <t>是</t>
  </si>
  <si>
    <t>诸葛孔明〔埃尔梅罗Ⅱ世〕</t>
  </si>
  <si>
    <t>库·丘林</t>
  </si>
  <si>
    <t>尼托克丽丝</t>
  </si>
  <si>
    <t>吉尔伽美什</t>
  </si>
  <si>
    <t>梅林</t>
  </si>
  <si>
    <t>尼禄·克劳狄乌斯</t>
  </si>
  <si>
    <t>斯卡哈·斯卡蒂</t>
  </si>
  <si>
    <t>美游·艾德费尔特</t>
  </si>
  <si>
    <t>阿斯克勒庇俄斯</t>
  </si>
  <si>
    <t>陈宫</t>
  </si>
  <si>
    <t>阿尔托莉雅·卡斯特</t>
  </si>
  <si>
    <t>玛尔达〔圣诞〕</t>
  </si>
  <si>
    <t>距下一级还差</t>
  </si>
  <si>
    <t>本段进度</t>
  </si>
  <si>
    <t>绊1</t>
  </si>
  <si>
    <t>绊2</t>
  </si>
  <si>
    <t>绊3</t>
  </si>
  <si>
    <t>绊4</t>
  </si>
  <si>
    <t>绊5</t>
  </si>
  <si>
    <t>绊6</t>
  </si>
  <si>
    <t>绊7</t>
  </si>
  <si>
    <t>绊8</t>
  </si>
  <si>
    <t>绊9</t>
  </si>
  <si>
    <t>绊10</t>
  </si>
  <si>
    <t>绊11</t>
  </si>
  <si>
    <t>绊12</t>
  </si>
  <si>
    <t>绊13</t>
  </si>
  <si>
    <t>绊14</t>
  </si>
  <si>
    <t>绊15</t>
  </si>
  <si>
    <t>绊16</t>
  </si>
  <si>
    <t>星级</t>
    <phoneticPr fontId="4" type="noConversion"/>
  </si>
  <si>
    <t>cost</t>
    <phoneticPr fontId="4" type="noConversion"/>
  </si>
  <si>
    <t>name</t>
    <phoneticPr fontId="4" type="noConversion"/>
  </si>
  <si>
    <t>伊莉莎 酒吞</t>
    <phoneticPr fontId="4" type="noConversion"/>
  </si>
  <si>
    <t>元帅 小丑</t>
    <phoneticPr fontId="4" type="noConversion"/>
  </si>
  <si>
    <t>夏洛特 爱丽 姑妈 正雪</t>
    <phoneticPr fontId="4" type="noConversion"/>
  </si>
  <si>
    <t>巴贝奇 张角</t>
    <phoneticPr fontId="4" type="noConversion"/>
  </si>
  <si>
    <t>阿维斯布隆   杰罗尼莫</t>
    <phoneticPr fontId="4" type="noConversion"/>
  </si>
  <si>
    <t>齐格 示巴 童谣</t>
    <phoneticPr fontId="4" type="noConversion"/>
  </si>
  <si>
    <t>人数</t>
    <phoneticPr fontId="4" type="noConversion"/>
  </si>
  <si>
    <t>陈 三藏</t>
    <phoneticPr fontId="4" type="noConversion"/>
  </si>
  <si>
    <t>NFF</t>
    <phoneticPr fontId="4" type="noConversion"/>
  </si>
  <si>
    <t>基础消耗</t>
    <phoneticPr fontId="4" type="noConversion"/>
  </si>
  <si>
    <t>五星礼装</t>
    <phoneticPr fontId="4" type="noConversion"/>
  </si>
  <si>
    <t>五星从者</t>
    <phoneticPr fontId="4" type="noConversion"/>
  </si>
  <si>
    <t>四星从者</t>
    <phoneticPr fontId="4" type="noConversion"/>
  </si>
  <si>
    <t>三星从者</t>
    <phoneticPr fontId="4" type="noConversion"/>
  </si>
  <si>
    <t>3+3+3+b</t>
    <phoneticPr fontId="4" type="noConversion"/>
  </si>
  <si>
    <t>5+4+4</t>
    <phoneticPr fontId="4" type="noConversion"/>
  </si>
  <si>
    <t>5+3*x</t>
    <phoneticPr fontId="4" type="noConversion"/>
  </si>
  <si>
    <t>333b</t>
    <phoneticPr fontId="4" type="noConversion"/>
  </si>
  <si>
    <t>队伍</t>
    <phoneticPr fontId="4" type="noConversion"/>
  </si>
  <si>
    <t>bonus</t>
    <phoneticPr fontId="4" type="noConversion"/>
  </si>
  <si>
    <t xml:space="preserve"> 户口收益6</t>
    <phoneticPr fontId="4" type="noConversion"/>
  </si>
  <si>
    <t xml:space="preserve"> 户口收益5</t>
    <phoneticPr fontId="4" type="noConversion"/>
  </si>
  <si>
    <t xml:space="preserve"> 户口收益4</t>
  </si>
  <si>
    <t xml:space="preserve"> 户口收益3</t>
  </si>
  <si>
    <t xml:space="preserve"> 户口收益2</t>
  </si>
  <si>
    <t>保本</t>
    <phoneticPr fontId="4" type="noConversion"/>
  </si>
  <si>
    <t xml:space="preserve"> 户口收益1+保本</t>
    <phoneticPr fontId="4" type="noConversion"/>
  </si>
  <si>
    <t>角色cost</t>
    <phoneticPr fontId="4" type="noConversion"/>
  </si>
  <si>
    <t>角色信息</t>
    <phoneticPr fontId="4" type="noConversion"/>
  </si>
  <si>
    <t>是否启用礼装</t>
    <phoneticPr fontId="4" type="noConversion"/>
  </si>
  <si>
    <t>礼装系数</t>
    <phoneticPr fontId="4" type="noConversion"/>
  </si>
  <si>
    <t>是否启用角色</t>
    <phoneticPr fontId="4" type="noConversion"/>
  </si>
  <si>
    <t>角色收益</t>
    <phoneticPr fontId="4" type="noConversion"/>
  </si>
  <si>
    <t>总cost</t>
    <phoneticPr fontId="4" type="noConversion"/>
  </si>
  <si>
    <t>苹果</t>
    <phoneticPr fontId="4" type="noConversion"/>
  </si>
  <si>
    <t>打满所需k</t>
    <phoneticPr fontId="4" type="noConversion"/>
  </si>
  <si>
    <t>最高总收益</t>
    <phoneticPr fontId="4" type="noConversion"/>
  </si>
  <si>
    <t>户口浪费</t>
    <phoneticPr fontId="4" type="noConversion"/>
  </si>
  <si>
    <t>利用户口</t>
    <phoneticPr fontId="4" type="noConversion"/>
  </si>
  <si>
    <t>总户口</t>
    <phoneticPr fontId="4" type="noConversion"/>
  </si>
  <si>
    <t xml:space="preserve"> </t>
    <phoneticPr fontId="4" type="noConversion"/>
  </si>
  <si>
    <t>总启用必须等于</t>
    <phoneticPr fontId="4" type="noConversion"/>
  </si>
  <si>
    <t>损失函数</t>
    <phoneticPr fontId="4" type="noConversion"/>
  </si>
  <si>
    <t>mink的倒数（战斗次数）</t>
    <phoneticPr fontId="4" type="noConversion"/>
  </si>
  <si>
    <t>占位1</t>
    <phoneticPr fontId="4" type="noConversion"/>
  </si>
  <si>
    <t>占位2</t>
    <phoneticPr fontId="4" type="noConversion"/>
  </si>
  <si>
    <t>cost剩余则多一个礼装（cost=21）</t>
    <phoneticPr fontId="4" type="noConversion"/>
  </si>
  <si>
    <t>当前需求</t>
    <phoneticPr fontId="4" type="noConversion"/>
  </si>
  <si>
    <t>求解后需求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</si>
</sst>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★&quot;0"/>
    <numFmt numFmtId="177" formatCode="0.0%"/>
  </numFmts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rgb="FF2E7D32"/>
      <name val="宋体"/>
      <family val="2"/>
      <scheme val="minor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/>
    <xf numFmtId="17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177" fontId="0" fillId="0" borderId="1" xfId="0" applyNumberFormat="1" applyBorder="1"/>
    <xf numFmtId="3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3" fontId="0" fillId="0" borderId="0" xfId="0" applyNumberFormat="1" applyBorder="1"/>
    <xf numFmtId="0" fontId="0" fillId="0" borderId="0" xfId="0" applyBorder="1"/>
    <xf numFmtId="0" fontId="0" fillId="0" borderId="3" xfId="0" applyFill="1" applyBorder="1"/>
    <xf numFmtId="0" fontId="0" fillId="3" borderId="0" xfId="0" applyFill="1"/>
    <xf numFmtId="1" fontId="0" fillId="0" borderId="2" xfId="0" applyNumberForma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3" xfId="0" applyBorder="1"/>
    <xf numFmtId="1" fontId="0" fillId="0" borderId="3" xfId="0" applyNumberFormat="1" applyFill="1" applyBorder="1" applyAlignment="1">
      <alignment horizontal="center"/>
    </xf>
    <xf numFmtId="0" fontId="0" fillId="0" borderId="0" xfId="0" applyFill="1"/>
    <xf numFmtId="0" fontId="1" fillId="4" borderId="0" xfId="0" applyFont="1" applyFill="1" applyBorder="1" applyAlignment="1">
      <alignment horizontal="center" vertical="center"/>
    </xf>
    <xf numFmtId="0" fontId="5" fillId="5" borderId="0" xfId="0" applyFont="1" applyFill="1"/>
    <xf numFmtId="0" fontId="1" fillId="2" borderId="3" xfId="0" applyFont="1" applyFill="1" applyBorder="1" applyAlignment="1">
      <alignment horizontal="center" vertical="center"/>
    </xf>
    <xf numFmtId="0" fontId="5" fillId="6" borderId="0" xfId="0" applyFont="1" applyFill="1"/>
    <xf numFmtId="0" fontId="6" fillId="6" borderId="0" xfId="0" applyFont="1" applyFill="1" applyBorder="1" applyAlignment="1">
      <alignment horizontal="center" vertical="center"/>
    </xf>
  </cellXfs>
  <cellStyles count="1">
    <cellStyle name="常规" xfId="0" builtinId="0"/>
  </cellStyles>
  <dxfs count="5">
    <dxf>
      <font>
        <b/>
        <color rgb="FF1B5E20"/>
      </font>
      <fill>
        <patternFill>
          <bgColor rgb="FFC6EFCE"/>
        </patternFill>
      </fill>
    </dxf>
    <dxf>
      <font>
        <b/>
        <color rgb="FF1B5E20"/>
      </font>
      <fill>
        <patternFill>
          <bgColor rgb="FFC6EFCE"/>
        </patternFill>
      </fill>
    </dxf>
    <dxf>
      <font>
        <b/>
        <color rgb="FF1B5E2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b/>
        <color rgb="FF1B5E2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zoomScale="85" zoomScaleNormal="85" workbookViewId="0">
      <pane xSplit="3" ySplit="1" topLeftCell="D42" activePane="bottomRight" state="frozen"/>
      <selection pane="topRight" activeCell="D1" sqref="D1"/>
      <selection pane="bottomLeft" activeCell="A2" sqref="A2"/>
      <selection pane="bottomRight" activeCell="C73" sqref="C73"/>
    </sheetView>
  </sheetViews>
  <sheetFormatPr defaultRowHeight="14.4" x14ac:dyDescent="0.25"/>
  <cols>
    <col min="1" max="1" width="8.6640625" customWidth="1"/>
    <col min="2" max="2" width="10.6640625" customWidth="1"/>
    <col min="3" max="3" width="26.6640625" customWidth="1"/>
    <col min="4" max="6" width="8.6640625" customWidth="1"/>
    <col min="7" max="7" width="11.6640625" customWidth="1"/>
    <col min="8" max="8" width="12.6640625" customWidth="1"/>
    <col min="9" max="9" width="13.6640625" customWidth="1"/>
    <col min="10" max="10" width="11.6640625" customWidth="1"/>
    <col min="11" max="16" width="15.66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11</v>
      </c>
      <c r="N1" s="1" t="s">
        <v>12</v>
      </c>
      <c r="O1" s="1" t="s">
        <v>13</v>
      </c>
      <c r="P1" s="1" t="s">
        <v>15</v>
      </c>
    </row>
    <row r="2" spans="1:16" x14ac:dyDescent="0.25">
      <c r="A2" s="2">
        <v>415</v>
      </c>
      <c r="B2" s="2">
        <v>505500</v>
      </c>
      <c r="C2" s="3" t="s">
        <v>19</v>
      </c>
      <c r="D2" s="4">
        <v>5</v>
      </c>
      <c r="E2" s="2">
        <v>16</v>
      </c>
      <c r="F2" s="2">
        <v>5</v>
      </c>
      <c r="G2" s="2">
        <v>156091</v>
      </c>
      <c r="H2" s="2">
        <v>1290000</v>
      </c>
      <c r="I2" s="2">
        <v>1133909</v>
      </c>
      <c r="J2" s="3" t="s">
        <v>17</v>
      </c>
      <c r="K2" s="5">
        <v>1</v>
      </c>
      <c r="L2" s="5">
        <v>1</v>
      </c>
      <c r="M2" s="5">
        <v>0</v>
      </c>
      <c r="N2" s="5">
        <v>0</v>
      </c>
      <c r="O2" s="5">
        <v>0</v>
      </c>
      <c r="P2" s="5">
        <v>1</v>
      </c>
    </row>
    <row r="3" spans="1:16" x14ac:dyDescent="0.25">
      <c r="A3" s="2"/>
      <c r="B3" s="2"/>
      <c r="C3" s="3"/>
      <c r="D3" s="4"/>
      <c r="E3" s="2"/>
      <c r="F3" s="2"/>
      <c r="G3" s="2"/>
      <c r="H3" s="2"/>
      <c r="I3" s="2"/>
      <c r="J3" s="3"/>
      <c r="K3" s="5"/>
      <c r="L3" s="5"/>
      <c r="M3" s="5"/>
      <c r="N3" s="5"/>
      <c r="O3" s="5"/>
      <c r="P3" s="5"/>
    </row>
    <row r="4" spans="1:16" x14ac:dyDescent="0.25">
      <c r="A4" s="2">
        <v>61</v>
      </c>
      <c r="B4" s="2">
        <v>502600</v>
      </c>
      <c r="C4" s="3" t="s">
        <v>26</v>
      </c>
      <c r="D4" s="4">
        <v>4</v>
      </c>
      <c r="E4" s="2">
        <v>12</v>
      </c>
      <c r="F4" s="2">
        <v>5</v>
      </c>
      <c r="G4" s="2">
        <v>43200</v>
      </c>
      <c r="H4" s="2">
        <v>1090000</v>
      </c>
      <c r="I4" s="2">
        <v>1046800</v>
      </c>
      <c r="J4" s="3" t="s">
        <v>17</v>
      </c>
      <c r="K4" s="5">
        <v>1</v>
      </c>
      <c r="L4" s="5">
        <v>1</v>
      </c>
      <c r="M4" s="5">
        <v>0</v>
      </c>
      <c r="N4" s="5">
        <v>0</v>
      </c>
      <c r="O4" s="5">
        <v>0</v>
      </c>
      <c r="P4" s="5">
        <v>0</v>
      </c>
    </row>
    <row r="5" spans="1:16" x14ac:dyDescent="0.25">
      <c r="A5" s="2">
        <v>32</v>
      </c>
      <c r="B5" s="2">
        <v>500200</v>
      </c>
      <c r="C5" s="3" t="s">
        <v>30</v>
      </c>
      <c r="D5" s="4">
        <v>3</v>
      </c>
      <c r="E5" s="2">
        <v>7</v>
      </c>
      <c r="F5" s="2">
        <v>5</v>
      </c>
      <c r="G5" s="2">
        <v>167123</v>
      </c>
      <c r="H5" s="2">
        <v>1100000</v>
      </c>
      <c r="I5" s="2">
        <v>932877</v>
      </c>
      <c r="J5" s="3" t="s">
        <v>17</v>
      </c>
      <c r="K5" s="5">
        <v>1</v>
      </c>
      <c r="L5" s="5">
        <v>1</v>
      </c>
      <c r="M5" s="5">
        <v>0</v>
      </c>
      <c r="N5" s="5">
        <v>0</v>
      </c>
      <c r="O5" s="5">
        <v>0</v>
      </c>
      <c r="P5" s="5">
        <v>0</v>
      </c>
    </row>
    <row r="6" spans="1:16" x14ac:dyDescent="0.25">
      <c r="A6" s="2">
        <v>35</v>
      </c>
      <c r="B6" s="2">
        <v>501400</v>
      </c>
      <c r="C6" s="3" t="s">
        <v>31</v>
      </c>
      <c r="D6" s="4">
        <v>3</v>
      </c>
      <c r="E6" s="2">
        <v>7</v>
      </c>
      <c r="F6" s="2">
        <v>5</v>
      </c>
      <c r="G6" s="2">
        <v>69383</v>
      </c>
      <c r="H6" s="2">
        <v>990000</v>
      </c>
      <c r="I6" s="2">
        <v>920617</v>
      </c>
      <c r="J6" s="3" t="s">
        <v>17</v>
      </c>
      <c r="K6" s="5">
        <v>1</v>
      </c>
      <c r="L6" s="5">
        <v>1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2">
        <v>225</v>
      </c>
      <c r="B7" s="2">
        <v>504000</v>
      </c>
      <c r="C7" s="3" t="s">
        <v>28</v>
      </c>
      <c r="D7" s="4">
        <v>4</v>
      </c>
      <c r="E7" s="2">
        <v>12</v>
      </c>
      <c r="F7" s="2">
        <v>6</v>
      </c>
      <c r="G7" s="2">
        <v>224541</v>
      </c>
      <c r="H7" s="2">
        <v>1190000</v>
      </c>
      <c r="I7" s="2">
        <v>965459</v>
      </c>
      <c r="J7" s="3" t="s">
        <v>17</v>
      </c>
      <c r="K7" s="5">
        <v>1</v>
      </c>
      <c r="L7" s="5">
        <v>1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2"/>
      <c r="B8" s="2"/>
      <c r="C8" s="3"/>
      <c r="D8" s="4"/>
      <c r="E8" s="2"/>
      <c r="F8" s="2"/>
      <c r="G8" s="2"/>
      <c r="H8" s="2"/>
      <c r="I8" s="2"/>
      <c r="J8" s="3"/>
      <c r="K8" s="5"/>
      <c r="L8" s="5"/>
      <c r="M8" s="5"/>
      <c r="N8" s="5"/>
      <c r="O8" s="5"/>
      <c r="P8" s="5"/>
    </row>
    <row r="9" spans="1:16" x14ac:dyDescent="0.25">
      <c r="A9" s="2">
        <v>385</v>
      </c>
      <c r="B9" s="2">
        <v>505300</v>
      </c>
      <c r="C9" s="3" t="s">
        <v>40</v>
      </c>
      <c r="D9" s="4">
        <v>5</v>
      </c>
      <c r="E9" s="2">
        <v>16</v>
      </c>
      <c r="F9" s="2">
        <v>7</v>
      </c>
      <c r="G9" s="2">
        <v>939632</v>
      </c>
      <c r="H9" s="2">
        <v>1320000</v>
      </c>
      <c r="I9" s="2">
        <v>380368</v>
      </c>
      <c r="J9" s="3" t="s">
        <v>17</v>
      </c>
      <c r="K9" s="5">
        <v>0</v>
      </c>
      <c r="L9" s="5">
        <v>0</v>
      </c>
      <c r="M9" s="5">
        <v>1</v>
      </c>
      <c r="N9" s="5">
        <v>1</v>
      </c>
      <c r="O9" s="5">
        <v>0</v>
      </c>
      <c r="P9" s="5">
        <v>0</v>
      </c>
    </row>
    <row r="10" spans="1:16" x14ac:dyDescent="0.25">
      <c r="A10" s="2">
        <v>113</v>
      </c>
      <c r="B10" s="2">
        <v>502200</v>
      </c>
      <c r="C10" s="3" t="s">
        <v>18</v>
      </c>
      <c r="D10" s="4">
        <v>5</v>
      </c>
      <c r="E10" s="2">
        <v>16</v>
      </c>
      <c r="F10" s="2">
        <v>5</v>
      </c>
      <c r="G10" s="2">
        <v>29046</v>
      </c>
      <c r="H10" s="2">
        <v>1170000</v>
      </c>
      <c r="I10" s="2">
        <v>1140954</v>
      </c>
      <c r="J10" s="3" t="s">
        <v>17</v>
      </c>
      <c r="K10" s="5">
        <v>0</v>
      </c>
      <c r="L10" s="5">
        <v>0</v>
      </c>
      <c r="M10" s="5">
        <v>1</v>
      </c>
      <c r="N10" s="5">
        <v>1</v>
      </c>
      <c r="O10" s="5">
        <v>0</v>
      </c>
      <c r="P10" s="5">
        <v>0</v>
      </c>
    </row>
    <row r="11" spans="1:16" x14ac:dyDescent="0.25">
      <c r="A11" s="2"/>
      <c r="B11" s="2"/>
      <c r="C11" s="3"/>
      <c r="D11" s="4"/>
      <c r="E11" s="2"/>
      <c r="F11" s="2"/>
      <c r="G11" s="2"/>
      <c r="H11" s="2"/>
      <c r="I11" s="2"/>
      <c r="J11" s="3"/>
      <c r="K11" s="5"/>
      <c r="L11" s="5"/>
      <c r="M11" s="5"/>
      <c r="N11" s="5"/>
      <c r="O11" s="5"/>
      <c r="P11" s="5"/>
    </row>
    <row r="13" spans="1:16" x14ac:dyDescent="0.25">
      <c r="A13" s="2">
        <v>100</v>
      </c>
      <c r="B13" s="2">
        <v>502300</v>
      </c>
      <c r="C13" s="3" t="s">
        <v>25</v>
      </c>
      <c r="D13" s="4">
        <v>4</v>
      </c>
      <c r="E13" s="2">
        <v>12</v>
      </c>
      <c r="F13" s="2">
        <v>5</v>
      </c>
      <c r="G13" s="2">
        <v>30804</v>
      </c>
      <c r="H13" s="2">
        <v>1080000</v>
      </c>
      <c r="I13" s="2">
        <v>1049196</v>
      </c>
      <c r="J13" s="3" t="s">
        <v>17</v>
      </c>
      <c r="K13" s="5">
        <v>0</v>
      </c>
      <c r="L13" s="5">
        <v>1</v>
      </c>
      <c r="M13" s="5">
        <v>0</v>
      </c>
      <c r="N13" s="5">
        <v>0</v>
      </c>
      <c r="O13" s="5">
        <v>1</v>
      </c>
      <c r="P13" s="5">
        <v>0</v>
      </c>
    </row>
    <row r="14" spans="1:16" x14ac:dyDescent="0.25">
      <c r="A14" s="2">
        <v>79</v>
      </c>
      <c r="B14" s="2">
        <v>501000</v>
      </c>
      <c r="C14" s="3" t="s">
        <v>34</v>
      </c>
      <c r="D14" s="4">
        <v>3</v>
      </c>
      <c r="E14" s="2">
        <v>7</v>
      </c>
      <c r="F14" s="2">
        <v>5</v>
      </c>
      <c r="G14" s="2">
        <v>228222</v>
      </c>
      <c r="H14" s="2">
        <v>1050000</v>
      </c>
      <c r="I14" s="2">
        <v>821778</v>
      </c>
      <c r="J14" s="3" t="s">
        <v>17</v>
      </c>
      <c r="K14" s="5">
        <v>0</v>
      </c>
      <c r="L14" s="5">
        <v>1</v>
      </c>
      <c r="M14" s="5">
        <v>0</v>
      </c>
      <c r="N14" s="5">
        <v>0</v>
      </c>
      <c r="O14" s="5">
        <v>1</v>
      </c>
      <c r="P14" s="5">
        <v>0</v>
      </c>
    </row>
    <row r="16" spans="1:16" x14ac:dyDescent="0.25">
      <c r="A16" s="2">
        <v>136</v>
      </c>
      <c r="B16" s="2">
        <v>502800</v>
      </c>
      <c r="C16" s="3" t="s">
        <v>22</v>
      </c>
      <c r="D16" s="4">
        <v>5</v>
      </c>
      <c r="E16" s="2">
        <v>16</v>
      </c>
      <c r="F16" s="2">
        <v>5</v>
      </c>
      <c r="G16" s="2">
        <v>91450</v>
      </c>
      <c r="H16" s="2">
        <v>1198600</v>
      </c>
      <c r="I16" s="2">
        <v>1107150</v>
      </c>
      <c r="J16" s="3" t="s">
        <v>17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</row>
    <row r="17" spans="1:16" x14ac:dyDescent="0.25">
      <c r="A17" s="2"/>
      <c r="B17" s="2"/>
      <c r="C17" s="3"/>
      <c r="D17" s="4"/>
      <c r="E17" s="2"/>
      <c r="F17" s="2"/>
      <c r="G17" s="2"/>
      <c r="H17" s="2"/>
      <c r="I17" s="2"/>
      <c r="J17" s="3"/>
      <c r="K17" s="5"/>
      <c r="L17" s="5"/>
      <c r="M17" s="5"/>
      <c r="N17" s="5"/>
      <c r="O17" s="5"/>
      <c r="P17" s="5"/>
    </row>
    <row r="18" spans="1:16" x14ac:dyDescent="0.25">
      <c r="A18" s="2">
        <v>358</v>
      </c>
      <c r="B18" s="2">
        <v>505200</v>
      </c>
      <c r="C18" s="3" t="s">
        <v>29</v>
      </c>
      <c r="D18" s="4">
        <v>4</v>
      </c>
      <c r="E18" s="2">
        <v>12</v>
      </c>
      <c r="F18" s="2">
        <v>5</v>
      </c>
      <c r="G18" s="2">
        <v>127220</v>
      </c>
      <c r="H18" s="2">
        <v>1080000</v>
      </c>
      <c r="I18" s="2">
        <v>952780</v>
      </c>
      <c r="J18" s="3" t="s">
        <v>17</v>
      </c>
      <c r="K18" s="5">
        <v>1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</row>
    <row r="20" spans="1:16" x14ac:dyDescent="0.25">
      <c r="A20" s="2">
        <v>319</v>
      </c>
      <c r="B20" s="2">
        <v>504800</v>
      </c>
      <c r="C20" s="3" t="s">
        <v>27</v>
      </c>
      <c r="D20" s="4">
        <v>4</v>
      </c>
      <c r="E20" s="2">
        <v>12</v>
      </c>
      <c r="F20" s="2">
        <v>5</v>
      </c>
      <c r="G20" s="2">
        <v>59627</v>
      </c>
      <c r="H20" s="2">
        <v>1090000</v>
      </c>
      <c r="I20" s="2">
        <v>1030373</v>
      </c>
      <c r="J20" s="3" t="s">
        <v>17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</row>
    <row r="21" spans="1:16" x14ac:dyDescent="0.25">
      <c r="A21" s="2">
        <v>111</v>
      </c>
      <c r="B21" s="2">
        <v>502000</v>
      </c>
      <c r="C21" s="3" t="s">
        <v>24</v>
      </c>
      <c r="D21" s="4">
        <v>4</v>
      </c>
      <c r="E21" s="2">
        <v>12</v>
      </c>
      <c r="F21" s="2">
        <v>5</v>
      </c>
      <c r="G21" s="2">
        <v>28540</v>
      </c>
      <c r="H21" s="2">
        <v>1080000</v>
      </c>
      <c r="I21" s="2">
        <v>1051460</v>
      </c>
      <c r="J21" s="3" t="s">
        <v>17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2">
        <v>80</v>
      </c>
      <c r="B22" s="2">
        <v>501100</v>
      </c>
      <c r="C22" s="3" t="s">
        <v>35</v>
      </c>
      <c r="D22" s="4">
        <v>3</v>
      </c>
      <c r="E22" s="2">
        <v>7</v>
      </c>
      <c r="F22" s="2">
        <v>5</v>
      </c>
      <c r="G22" s="2">
        <v>246676</v>
      </c>
      <c r="H22" s="2">
        <v>1050000</v>
      </c>
      <c r="I22" s="2">
        <v>803324</v>
      </c>
      <c r="J22" s="3" t="s">
        <v>17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2">
        <v>192</v>
      </c>
      <c r="B23" s="2">
        <v>503300</v>
      </c>
      <c r="C23" s="3" t="s">
        <v>37</v>
      </c>
      <c r="D23" s="4">
        <v>4</v>
      </c>
      <c r="E23" s="2">
        <v>12</v>
      </c>
      <c r="F23" s="2">
        <v>6</v>
      </c>
      <c r="G23" s="2">
        <v>385130</v>
      </c>
      <c r="H23" s="2">
        <v>1070000</v>
      </c>
      <c r="I23" s="2">
        <v>684870</v>
      </c>
      <c r="J23" s="3" t="s">
        <v>17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2">
        <v>348</v>
      </c>
      <c r="B24" s="2">
        <v>505100</v>
      </c>
      <c r="C24" s="3" t="s">
        <v>38</v>
      </c>
      <c r="D24" s="4">
        <v>3</v>
      </c>
      <c r="E24" s="2">
        <v>7</v>
      </c>
      <c r="F24" s="2">
        <v>6</v>
      </c>
      <c r="G24" s="2">
        <v>552274</v>
      </c>
      <c r="H24" s="2">
        <v>1120000</v>
      </c>
      <c r="I24" s="2">
        <v>567726</v>
      </c>
      <c r="J24" s="3" t="s">
        <v>17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2">
        <v>404</v>
      </c>
      <c r="B25" s="2">
        <v>505400</v>
      </c>
      <c r="C25" s="3" t="s">
        <v>39</v>
      </c>
      <c r="D25" s="4">
        <v>4</v>
      </c>
      <c r="E25" s="2">
        <v>12</v>
      </c>
      <c r="F25" s="2">
        <v>7</v>
      </c>
      <c r="G25" s="2">
        <v>577158</v>
      </c>
      <c r="H25" s="2">
        <v>1090000</v>
      </c>
      <c r="I25" s="2">
        <v>512842</v>
      </c>
      <c r="J25" s="3" t="s">
        <v>17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</row>
    <row r="26" spans="1:16" x14ac:dyDescent="0.25">
      <c r="A26" s="2"/>
      <c r="B26" s="2"/>
      <c r="C26" s="3"/>
      <c r="D26" s="4"/>
      <c r="E26" s="2"/>
      <c r="F26" s="2"/>
      <c r="G26" s="2"/>
      <c r="H26" s="2"/>
      <c r="I26" s="2"/>
      <c r="J26" s="3"/>
      <c r="K26" s="5"/>
      <c r="L26" s="5"/>
      <c r="M26" s="5"/>
      <c r="N26" s="5"/>
      <c r="O26" s="5"/>
      <c r="P26" s="5"/>
    </row>
    <row r="28" spans="1:16" x14ac:dyDescent="0.25">
      <c r="A28" s="2"/>
      <c r="B28" s="2"/>
      <c r="C28" s="3"/>
      <c r="D28" s="4"/>
      <c r="E28" s="2"/>
      <c r="F28" s="2"/>
      <c r="G28" s="2"/>
      <c r="H28" s="2"/>
      <c r="I28" s="2"/>
      <c r="J28" s="3"/>
      <c r="K28" s="5"/>
      <c r="L28" s="5"/>
      <c r="M28" s="5"/>
      <c r="N28" s="5"/>
      <c r="O28" s="5"/>
      <c r="P28" s="5"/>
    </row>
    <row r="29" spans="1:16" x14ac:dyDescent="0.25">
      <c r="A29" s="2">
        <v>31</v>
      </c>
      <c r="B29" s="2">
        <v>500100</v>
      </c>
      <c r="C29" s="3" t="s">
        <v>41</v>
      </c>
      <c r="D29" s="4">
        <v>3</v>
      </c>
      <c r="E29" s="2">
        <v>7</v>
      </c>
      <c r="F29" s="2">
        <v>7</v>
      </c>
      <c r="G29" s="2">
        <v>833888</v>
      </c>
      <c r="H29" s="2">
        <v>1120000</v>
      </c>
      <c r="I29" s="2">
        <v>286112</v>
      </c>
      <c r="J29" s="3" t="s">
        <v>17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2">
        <v>62</v>
      </c>
      <c r="B30" s="2">
        <v>500300</v>
      </c>
      <c r="C30" s="3" t="s">
        <v>32</v>
      </c>
      <c r="D30" s="4">
        <v>5</v>
      </c>
      <c r="E30" s="2">
        <v>16</v>
      </c>
      <c r="F30" s="2">
        <v>6</v>
      </c>
      <c r="G30" s="2">
        <v>358960</v>
      </c>
      <c r="H30" s="2">
        <v>1270000</v>
      </c>
      <c r="I30" s="2">
        <v>911040</v>
      </c>
      <c r="J30" s="3" t="s">
        <v>17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</row>
    <row r="31" spans="1:16" x14ac:dyDescent="0.25">
      <c r="A31" s="2"/>
      <c r="B31" s="2"/>
      <c r="C31" s="3"/>
      <c r="D31" s="4"/>
      <c r="E31" s="2"/>
      <c r="F31" s="2"/>
      <c r="G31" s="2"/>
      <c r="H31" s="2"/>
      <c r="I31" s="2"/>
      <c r="J31" s="3"/>
      <c r="K31" s="5"/>
      <c r="L31" s="5"/>
      <c r="M31" s="5"/>
      <c r="N31" s="5"/>
      <c r="O31" s="5"/>
      <c r="P31" s="5"/>
    </row>
    <row r="32" spans="1:16" x14ac:dyDescent="0.25">
      <c r="A32" s="2">
        <v>208</v>
      </c>
      <c r="B32" s="2">
        <v>503800</v>
      </c>
      <c r="C32" s="3" t="s">
        <v>42</v>
      </c>
      <c r="D32" s="4">
        <v>4</v>
      </c>
      <c r="E32" s="2">
        <v>12</v>
      </c>
      <c r="F32" s="2">
        <v>8</v>
      </c>
      <c r="G32" s="2">
        <v>900679</v>
      </c>
      <c r="H32" s="2">
        <v>1080000</v>
      </c>
      <c r="I32" s="2">
        <v>179321</v>
      </c>
      <c r="J32" s="3" t="s">
        <v>17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2">
        <v>104</v>
      </c>
      <c r="B33" s="2">
        <v>501600</v>
      </c>
      <c r="C33" s="3" t="s">
        <v>36</v>
      </c>
      <c r="D33" s="4">
        <v>3</v>
      </c>
      <c r="E33" s="2">
        <v>7</v>
      </c>
      <c r="F33" s="2">
        <v>6</v>
      </c>
      <c r="G33" s="2">
        <v>354602</v>
      </c>
      <c r="H33" s="2">
        <v>1120000</v>
      </c>
      <c r="I33" s="2">
        <v>765398</v>
      </c>
      <c r="J33" s="3" t="s">
        <v>17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x14ac:dyDescent="0.25">
      <c r="A34" s="2">
        <v>307</v>
      </c>
      <c r="B34" s="2">
        <v>504600</v>
      </c>
      <c r="C34" s="3" t="s">
        <v>16</v>
      </c>
      <c r="D34" s="4">
        <v>5</v>
      </c>
      <c r="E34" s="2">
        <v>16</v>
      </c>
      <c r="F34" s="2">
        <v>5</v>
      </c>
      <c r="G34" s="2">
        <v>14250</v>
      </c>
      <c r="H34" s="2">
        <v>1170000</v>
      </c>
      <c r="I34" s="2">
        <v>1155750</v>
      </c>
      <c r="J34" s="3" t="s">
        <v>17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2">
        <v>194</v>
      </c>
      <c r="B35" s="2">
        <v>503400</v>
      </c>
      <c r="C35" s="3" t="s">
        <v>20</v>
      </c>
      <c r="D35" s="4">
        <v>4</v>
      </c>
      <c r="E35" s="2">
        <v>12</v>
      </c>
      <c r="F35" s="2">
        <v>5</v>
      </c>
      <c r="G35" s="2">
        <v>71307</v>
      </c>
      <c r="H35" s="2">
        <v>1200000</v>
      </c>
      <c r="I35" s="2">
        <v>1128693</v>
      </c>
      <c r="J35" s="3" t="s">
        <v>17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2">
        <v>74</v>
      </c>
      <c r="B36" s="2">
        <v>500400</v>
      </c>
      <c r="C36" s="3" t="s">
        <v>21</v>
      </c>
      <c r="D36" s="4">
        <v>4</v>
      </c>
      <c r="E36" s="2">
        <v>12</v>
      </c>
      <c r="F36" s="2">
        <v>5</v>
      </c>
      <c r="G36" s="2">
        <v>67599</v>
      </c>
      <c r="H36" s="2">
        <v>1190000</v>
      </c>
      <c r="I36" s="2">
        <v>1122401</v>
      </c>
      <c r="J36" s="3" t="s">
        <v>17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</row>
    <row r="37" spans="1:16" x14ac:dyDescent="0.25">
      <c r="A37" s="2">
        <v>203</v>
      </c>
      <c r="B37" s="2">
        <v>503600</v>
      </c>
      <c r="C37" s="3" t="s">
        <v>33</v>
      </c>
      <c r="D37" s="4">
        <v>3</v>
      </c>
      <c r="E37" s="2">
        <v>7</v>
      </c>
      <c r="F37" s="2">
        <v>6</v>
      </c>
      <c r="G37" s="2">
        <v>218835</v>
      </c>
      <c r="H37" s="2">
        <v>1080000</v>
      </c>
      <c r="I37" s="2">
        <v>861165</v>
      </c>
      <c r="J37" s="3" t="s">
        <v>17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2"/>
      <c r="B38" s="2"/>
      <c r="C38" s="3"/>
      <c r="D38" s="4"/>
      <c r="E38" s="2"/>
      <c r="F38" s="2"/>
      <c r="G38" s="2"/>
      <c r="H38" s="2"/>
      <c r="I38" s="2"/>
      <c r="J38" s="3"/>
      <c r="K38" s="5"/>
      <c r="L38" s="5"/>
      <c r="M38" s="5"/>
      <c r="N38" s="5"/>
      <c r="O38" s="5"/>
      <c r="P38" s="5"/>
    </row>
    <row r="39" spans="1:16" x14ac:dyDescent="0.25">
      <c r="A39" s="2"/>
      <c r="B39" s="2"/>
      <c r="C39" s="3"/>
      <c r="D39" s="4"/>
      <c r="E39" s="2"/>
      <c r="F39" s="2"/>
      <c r="G39" s="2"/>
      <c r="H39" s="2"/>
      <c r="I39" s="2"/>
      <c r="J39" s="3"/>
      <c r="K39" s="5"/>
      <c r="L39" s="5"/>
      <c r="M39" s="5"/>
      <c r="N39" s="5"/>
      <c r="O39" s="5"/>
      <c r="P39" s="5"/>
    </row>
    <row r="40" spans="1:16" x14ac:dyDescent="0.25">
      <c r="A40" s="2"/>
      <c r="B40" s="2"/>
      <c r="C40" s="3"/>
      <c r="D40" s="4"/>
      <c r="E40" s="2"/>
      <c r="F40" s="2"/>
      <c r="G40" s="2"/>
      <c r="H40" s="2"/>
      <c r="I40" s="2"/>
      <c r="J40" s="3"/>
      <c r="K40" s="5"/>
      <c r="L40" s="5"/>
      <c r="M40" s="5"/>
      <c r="N40" s="5"/>
      <c r="O40" s="5"/>
      <c r="P40" s="5"/>
    </row>
    <row r="41" spans="1:16" x14ac:dyDescent="0.25">
      <c r="A41" s="2"/>
      <c r="B41" s="2"/>
      <c r="C41" s="3"/>
      <c r="D41" s="4"/>
      <c r="E41" s="2"/>
      <c r="F41" s="2"/>
      <c r="G41" s="2"/>
      <c r="H41" s="2"/>
      <c r="I41" s="2"/>
      <c r="J41" s="3"/>
      <c r="K41" s="5"/>
      <c r="L41" s="5"/>
      <c r="M41" s="5"/>
      <c r="N41" s="5"/>
      <c r="O41" s="5"/>
      <c r="P41" s="5"/>
    </row>
    <row r="42" spans="1:16" x14ac:dyDescent="0.25">
      <c r="A42" s="2"/>
      <c r="B42" s="2"/>
      <c r="C42" s="3"/>
      <c r="D42" s="4"/>
      <c r="E42" s="2"/>
      <c r="F42" s="2"/>
      <c r="G42" s="2"/>
      <c r="H42" s="2"/>
      <c r="I42" s="2"/>
      <c r="J42" s="3"/>
      <c r="K42" s="5"/>
      <c r="L42" s="5"/>
      <c r="M42" s="5"/>
      <c r="N42" s="5"/>
      <c r="O42" s="5"/>
      <c r="P42" s="5"/>
    </row>
    <row r="43" spans="1:16" x14ac:dyDescent="0.25">
      <c r="A43" s="2">
        <v>37</v>
      </c>
      <c r="B43" s="2">
        <v>501900</v>
      </c>
      <c r="C43" s="3" t="s">
        <v>45</v>
      </c>
      <c r="D43" s="4">
        <v>5</v>
      </c>
      <c r="E43" s="2">
        <v>16</v>
      </c>
      <c r="F43" s="2">
        <v>10</v>
      </c>
      <c r="G43" s="2">
        <v>1983846</v>
      </c>
      <c r="H43" s="2">
        <v>1290000</v>
      </c>
      <c r="I43" s="2">
        <v>0</v>
      </c>
      <c r="J43" s="6" t="s">
        <v>44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</row>
    <row r="44" spans="1:16" x14ac:dyDescent="0.25">
      <c r="A44" s="2">
        <v>150</v>
      </c>
      <c r="B44" s="2">
        <v>500800</v>
      </c>
      <c r="C44" s="3" t="s">
        <v>49</v>
      </c>
      <c r="D44" s="4">
        <v>5</v>
      </c>
      <c r="E44" s="2">
        <v>16</v>
      </c>
      <c r="F44" s="2">
        <v>14</v>
      </c>
      <c r="G44" s="2">
        <v>8140875</v>
      </c>
      <c r="H44" s="2">
        <v>1290000</v>
      </c>
      <c r="I44" s="2">
        <v>0</v>
      </c>
      <c r="J44" s="6" t="s">
        <v>44</v>
      </c>
      <c r="K44" s="5">
        <v>0</v>
      </c>
      <c r="L44" s="5">
        <v>0</v>
      </c>
      <c r="M44" s="5">
        <v>1</v>
      </c>
      <c r="N44" s="5">
        <v>0</v>
      </c>
      <c r="O44" s="5">
        <v>1</v>
      </c>
      <c r="P44" s="5">
        <v>0</v>
      </c>
    </row>
    <row r="45" spans="1:16" x14ac:dyDescent="0.25">
      <c r="A45" s="2">
        <v>175</v>
      </c>
      <c r="B45" s="2">
        <v>503200</v>
      </c>
      <c r="C45" s="3" t="s">
        <v>50</v>
      </c>
      <c r="D45" s="4">
        <v>5</v>
      </c>
      <c r="E45" s="2">
        <v>16</v>
      </c>
      <c r="F45" s="2">
        <v>10</v>
      </c>
      <c r="G45" s="2">
        <v>1640000</v>
      </c>
      <c r="H45" s="2">
        <v>1270000</v>
      </c>
      <c r="I45" s="2">
        <v>0</v>
      </c>
      <c r="J45" s="6" t="s">
        <v>44</v>
      </c>
      <c r="K45" s="5">
        <v>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</row>
    <row r="46" spans="1:16" x14ac:dyDescent="0.25">
      <c r="A46" s="2">
        <v>215</v>
      </c>
      <c r="B46" s="2">
        <v>503900</v>
      </c>
      <c r="C46" s="3" t="s">
        <v>51</v>
      </c>
      <c r="D46" s="4">
        <v>5</v>
      </c>
      <c r="E46" s="2">
        <v>16</v>
      </c>
      <c r="F46" s="2">
        <v>12</v>
      </c>
      <c r="G46" s="2">
        <v>4562031</v>
      </c>
      <c r="H46" s="2">
        <v>1170000</v>
      </c>
      <c r="I46" s="2">
        <v>0</v>
      </c>
      <c r="J46" s="6" t="s">
        <v>44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2">
        <v>284</v>
      </c>
      <c r="B47" s="2">
        <v>504500</v>
      </c>
      <c r="C47" s="3" t="s">
        <v>55</v>
      </c>
      <c r="D47" s="4">
        <v>5</v>
      </c>
      <c r="E47" s="2">
        <v>16</v>
      </c>
      <c r="F47" s="2">
        <v>14</v>
      </c>
      <c r="G47" s="2">
        <v>6917373</v>
      </c>
      <c r="H47" s="2">
        <v>1290000</v>
      </c>
      <c r="I47" s="2">
        <v>0</v>
      </c>
      <c r="J47" s="6" t="s">
        <v>44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2">
        <v>120</v>
      </c>
      <c r="B48" s="2">
        <v>501200</v>
      </c>
      <c r="C48" s="3" t="s">
        <v>47</v>
      </c>
      <c r="D48" s="4">
        <v>4</v>
      </c>
      <c r="E48" s="2">
        <v>12</v>
      </c>
      <c r="F48" s="2">
        <v>10</v>
      </c>
      <c r="G48" s="2">
        <v>2481267</v>
      </c>
      <c r="H48" s="2">
        <v>1200000</v>
      </c>
      <c r="I48" s="2">
        <v>0</v>
      </c>
      <c r="J48" s="6" t="s">
        <v>44</v>
      </c>
      <c r="K48" s="5">
        <v>0</v>
      </c>
      <c r="L48" s="5">
        <v>0</v>
      </c>
      <c r="M48" s="5">
        <v>1</v>
      </c>
      <c r="N48" s="5">
        <v>1</v>
      </c>
      <c r="O48" s="5">
        <v>1</v>
      </c>
      <c r="P48" s="5">
        <v>0</v>
      </c>
    </row>
    <row r="49" spans="1:16" x14ac:dyDescent="0.25">
      <c r="A49" s="2">
        <v>145</v>
      </c>
      <c r="B49" s="2">
        <v>501800</v>
      </c>
      <c r="C49" s="3" t="s">
        <v>48</v>
      </c>
      <c r="D49" s="4">
        <v>4</v>
      </c>
      <c r="E49" s="2">
        <v>12</v>
      </c>
      <c r="F49" s="2">
        <v>10</v>
      </c>
      <c r="G49" s="2">
        <v>1937586</v>
      </c>
      <c r="H49" s="2">
        <v>1180000</v>
      </c>
      <c r="I49" s="2">
        <v>0</v>
      </c>
      <c r="J49" s="6" t="s">
        <v>44</v>
      </c>
      <c r="K49" s="5">
        <v>0</v>
      </c>
      <c r="L49" s="5">
        <v>0</v>
      </c>
      <c r="M49" s="5">
        <v>1</v>
      </c>
      <c r="N49" s="5">
        <v>0</v>
      </c>
      <c r="O49" s="5">
        <v>1</v>
      </c>
      <c r="P49" s="5">
        <v>0</v>
      </c>
    </row>
    <row r="50" spans="1:16" x14ac:dyDescent="0.25">
      <c r="A50" s="2">
        <v>236</v>
      </c>
      <c r="B50" s="2">
        <v>504100</v>
      </c>
      <c r="C50" s="3" t="s">
        <v>52</v>
      </c>
      <c r="D50" s="4">
        <v>4</v>
      </c>
      <c r="E50" s="2">
        <v>12</v>
      </c>
      <c r="F50" s="2">
        <v>11</v>
      </c>
      <c r="G50" s="2">
        <v>3239496</v>
      </c>
      <c r="H50" s="2">
        <v>1090000</v>
      </c>
      <c r="I50" s="2">
        <v>0</v>
      </c>
      <c r="J50" s="6" t="s">
        <v>44</v>
      </c>
      <c r="K50" s="5">
        <v>0</v>
      </c>
      <c r="L50" s="5">
        <v>0</v>
      </c>
      <c r="M50" s="5">
        <v>1</v>
      </c>
      <c r="N50" s="5">
        <v>1</v>
      </c>
      <c r="O50" s="5">
        <v>0</v>
      </c>
      <c r="P50" s="5">
        <v>1</v>
      </c>
    </row>
    <row r="51" spans="1:16" x14ac:dyDescent="0.25">
      <c r="A51" s="2">
        <v>330</v>
      </c>
      <c r="B51" s="2">
        <v>505000</v>
      </c>
      <c r="C51" s="3" t="s">
        <v>56</v>
      </c>
      <c r="D51" s="4">
        <v>4</v>
      </c>
      <c r="E51" s="2">
        <v>12</v>
      </c>
      <c r="F51" s="2">
        <v>12</v>
      </c>
      <c r="G51" s="2">
        <v>4207888</v>
      </c>
      <c r="H51" s="2">
        <v>1080000</v>
      </c>
      <c r="I51" s="2">
        <v>0</v>
      </c>
      <c r="J51" s="6" t="s">
        <v>44</v>
      </c>
      <c r="K51" s="5">
        <v>0</v>
      </c>
      <c r="L51" s="5">
        <v>0</v>
      </c>
      <c r="M51" s="5">
        <v>1</v>
      </c>
      <c r="N51" s="5">
        <v>1</v>
      </c>
      <c r="O51" s="5">
        <v>0</v>
      </c>
      <c r="P51" s="5">
        <v>0</v>
      </c>
    </row>
    <row r="52" spans="1:16" x14ac:dyDescent="0.25">
      <c r="A52" s="2">
        <v>38</v>
      </c>
      <c r="B52" s="2">
        <v>502100</v>
      </c>
      <c r="C52" s="3" t="s">
        <v>46</v>
      </c>
      <c r="D52" s="4">
        <v>3</v>
      </c>
      <c r="E52" s="2">
        <v>7</v>
      </c>
      <c r="F52" s="2">
        <v>11</v>
      </c>
      <c r="G52" s="2">
        <v>2653630</v>
      </c>
      <c r="H52" s="2">
        <v>1050000</v>
      </c>
      <c r="I52" s="2">
        <v>0</v>
      </c>
      <c r="J52" s="6" t="s">
        <v>44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</row>
    <row r="53" spans="1:16" x14ac:dyDescent="0.25">
      <c r="A53" s="2">
        <v>249</v>
      </c>
      <c r="B53" s="2">
        <v>504300</v>
      </c>
      <c r="C53" s="3" t="s">
        <v>53</v>
      </c>
      <c r="D53" s="4">
        <v>3</v>
      </c>
      <c r="E53" s="2">
        <v>7</v>
      </c>
      <c r="F53" s="2">
        <v>10</v>
      </c>
      <c r="G53" s="2">
        <v>2075613</v>
      </c>
      <c r="H53" s="2">
        <v>1060000</v>
      </c>
      <c r="I53" s="2">
        <v>0</v>
      </c>
      <c r="J53" s="6" t="s">
        <v>44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</row>
    <row r="54" spans="1:16" x14ac:dyDescent="0.25">
      <c r="A54" s="2">
        <v>258</v>
      </c>
      <c r="B54" s="2">
        <v>504400</v>
      </c>
      <c r="C54" s="3" t="s">
        <v>54</v>
      </c>
      <c r="D54" s="4">
        <v>2</v>
      </c>
      <c r="E54" s="2">
        <v>4</v>
      </c>
      <c r="F54" s="2">
        <v>12</v>
      </c>
      <c r="G54" s="2">
        <v>3594292</v>
      </c>
      <c r="H54" s="2">
        <v>980000</v>
      </c>
      <c r="I54" s="2">
        <v>0</v>
      </c>
      <c r="J54" s="6" t="s">
        <v>44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</row>
    <row r="55" spans="1:16" x14ac:dyDescent="0.25">
      <c r="A55" s="2">
        <v>36</v>
      </c>
      <c r="B55" s="2">
        <v>501500</v>
      </c>
      <c r="C55" s="3" t="s">
        <v>43</v>
      </c>
      <c r="D55" s="4">
        <v>1</v>
      </c>
      <c r="E55" s="2">
        <v>3</v>
      </c>
      <c r="F55" s="2">
        <v>12</v>
      </c>
      <c r="G55" s="2">
        <v>3721092</v>
      </c>
      <c r="H55" s="2">
        <v>865000</v>
      </c>
      <c r="I55" s="2">
        <v>0</v>
      </c>
      <c r="J55" s="6" t="s">
        <v>44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x14ac:dyDescent="0.25">
      <c r="A56" s="2"/>
      <c r="B56" s="2"/>
      <c r="C56" s="3"/>
      <c r="D56" s="4"/>
      <c r="E56" s="2"/>
      <c r="F56" s="2"/>
      <c r="G56" s="2"/>
      <c r="H56" s="2"/>
      <c r="I56" s="2"/>
      <c r="J56" s="3"/>
      <c r="K56" s="5"/>
      <c r="L56" s="5"/>
      <c r="M56" s="5"/>
      <c r="N56" s="5"/>
      <c r="O56" s="5"/>
      <c r="P56" s="5"/>
    </row>
    <row r="57" spans="1:16" x14ac:dyDescent="0.25">
      <c r="A57" s="2">
        <v>169</v>
      </c>
      <c r="B57" s="2">
        <v>503000</v>
      </c>
      <c r="C57" s="3" t="s">
        <v>23</v>
      </c>
      <c r="D57" s="4">
        <v>5</v>
      </c>
      <c r="E57" s="2">
        <v>16</v>
      </c>
      <c r="F57" s="2">
        <v>6</v>
      </c>
      <c r="G57" s="2">
        <v>261644</v>
      </c>
      <c r="H57" s="2">
        <v>1320000</v>
      </c>
      <c r="I57" s="2">
        <v>1058356</v>
      </c>
      <c r="J57" s="3" t="s">
        <v>17</v>
      </c>
      <c r="K57" s="5">
        <v>0</v>
      </c>
      <c r="L57" s="5">
        <v>0</v>
      </c>
      <c r="M57" s="5">
        <v>0</v>
      </c>
      <c r="N57" s="5">
        <v>1</v>
      </c>
      <c r="O57" s="5">
        <v>0</v>
      </c>
      <c r="P57" s="5">
        <v>0</v>
      </c>
    </row>
    <row r="58" spans="1:16" x14ac:dyDescent="0.25">
      <c r="A58" s="2"/>
      <c r="B58" s="2"/>
      <c r="C58" s="3"/>
      <c r="D58" s="4"/>
      <c r="E58" s="2"/>
      <c r="F58" s="2"/>
      <c r="G58" s="2"/>
      <c r="H58" s="2"/>
      <c r="I58" s="2"/>
      <c r="J58" s="3"/>
      <c r="K58" s="5"/>
      <c r="L58" s="5"/>
      <c r="M58" s="5"/>
      <c r="N58" s="5"/>
      <c r="O58" s="5"/>
      <c r="P58" s="5"/>
    </row>
    <row r="59" spans="1:16" x14ac:dyDescent="0.25">
      <c r="A59" s="2"/>
      <c r="B59" s="2"/>
      <c r="C59" s="3"/>
      <c r="D59" s="4"/>
      <c r="E59" s="2"/>
      <c r="F59" s="2"/>
      <c r="G59" s="2"/>
      <c r="H59" s="2"/>
      <c r="I59" s="2"/>
      <c r="J59" s="3"/>
      <c r="K59" s="5"/>
      <c r="L59" s="5"/>
      <c r="M59" s="5"/>
      <c r="N59" s="5"/>
      <c r="O59" s="5"/>
      <c r="P59" s="5"/>
    </row>
  </sheetData>
  <autoFilter ref="A1:P59" xr:uid="{00000000-0009-0000-0000-000000000000}"/>
  <sortState xmlns:xlrd2="http://schemas.microsoft.com/office/spreadsheetml/2017/richdata2" ref="A4:P63">
    <sortCondition descending="1" ref="I1:I63"/>
  </sortState>
  <phoneticPr fontId="4" type="noConversion"/>
  <conditionalFormatting sqref="K2:P11 K16:P18 K28:P59 K13:P14 K20:P26">
    <cfRule type="cellIs" dxfId="4" priority="2" operator="equal">
      <formula>1</formula>
    </cfRule>
  </conditionalFormatting>
  <conditionalFormatting sqref="I16:I18 I2:I11 I13:I14 I20:I26 I28:I59">
    <cfRule type="dataBar" priority="9">
      <dataBar>
        <cfvo type="min"/>
        <cfvo type="max"/>
        <color rgb="FF63C384"/>
      </dataBar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9" sqref="D29"/>
    </sheetView>
  </sheetViews>
  <sheetFormatPr defaultRowHeight="14.4" x14ac:dyDescent="0.25"/>
  <cols>
    <col min="1" max="1" width="8.6640625" customWidth="1"/>
    <col min="2" max="2" width="10.6640625" customWidth="1"/>
    <col min="3" max="3" width="26.6640625" customWidth="1"/>
    <col min="4" max="4" width="8.6640625" customWidth="1"/>
    <col min="5" max="5" width="11.6640625" customWidth="1"/>
    <col min="6" max="6" width="13.6640625" customWidth="1"/>
    <col min="7" max="7" width="10.6640625" customWidth="1"/>
    <col min="8" max="23" width="12.6640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</row>
    <row r="2" spans="1:23" x14ac:dyDescent="0.25">
      <c r="A2" s="2">
        <v>150</v>
      </c>
      <c r="B2" s="2">
        <v>500800</v>
      </c>
      <c r="C2" s="3" t="s">
        <v>49</v>
      </c>
      <c r="D2" s="2">
        <v>14</v>
      </c>
      <c r="E2" s="2">
        <v>8140875</v>
      </c>
      <c r="F2" s="2">
        <v>374125</v>
      </c>
      <c r="G2" s="7">
        <v>0.77190000000000003</v>
      </c>
      <c r="H2" s="2">
        <v>5000</v>
      </c>
      <c r="I2" s="2">
        <v>20000</v>
      </c>
      <c r="J2" s="2">
        <v>30000</v>
      </c>
      <c r="K2" s="2">
        <v>32000</v>
      </c>
      <c r="L2" s="2">
        <v>50000</v>
      </c>
      <c r="M2" s="2">
        <v>200000</v>
      </c>
      <c r="N2" s="2">
        <v>630000</v>
      </c>
      <c r="O2" s="2">
        <v>970000</v>
      </c>
      <c r="P2" s="2">
        <v>1290000</v>
      </c>
      <c r="Q2" s="2">
        <v>1695000</v>
      </c>
      <c r="R2" s="2">
        <v>2785000</v>
      </c>
      <c r="S2" s="2">
        <v>4015000</v>
      </c>
      <c r="T2" s="2">
        <v>5375000</v>
      </c>
      <c r="U2" s="2">
        <v>6875000</v>
      </c>
      <c r="V2" s="2">
        <v>8515000</v>
      </c>
      <c r="W2" s="2">
        <v>13515000</v>
      </c>
    </row>
    <row r="3" spans="1:23" x14ac:dyDescent="0.25">
      <c r="A3" s="2">
        <v>284</v>
      </c>
      <c r="B3" s="2">
        <v>504500</v>
      </c>
      <c r="C3" s="3" t="s">
        <v>55</v>
      </c>
      <c r="D3" s="2">
        <v>14</v>
      </c>
      <c r="E3" s="2">
        <v>6917373</v>
      </c>
      <c r="F3" s="2">
        <v>1597627</v>
      </c>
      <c r="G3" s="7">
        <v>2.58E-2</v>
      </c>
      <c r="H3" s="2">
        <v>5000</v>
      </c>
      <c r="I3" s="2">
        <v>20000</v>
      </c>
      <c r="J3" s="2">
        <v>30000</v>
      </c>
      <c r="K3" s="2">
        <v>32000</v>
      </c>
      <c r="L3" s="2">
        <v>50000</v>
      </c>
      <c r="M3" s="2">
        <v>200000</v>
      </c>
      <c r="N3" s="2">
        <v>630000</v>
      </c>
      <c r="O3" s="2">
        <v>970000</v>
      </c>
      <c r="P3" s="2">
        <v>1290000</v>
      </c>
      <c r="Q3" s="2">
        <v>1695000</v>
      </c>
      <c r="R3" s="2">
        <v>2785000</v>
      </c>
      <c r="S3" s="2">
        <v>4015000</v>
      </c>
      <c r="T3" s="2">
        <v>5375000</v>
      </c>
      <c r="U3" s="2">
        <v>6875000</v>
      </c>
      <c r="V3" s="2">
        <v>8515000</v>
      </c>
      <c r="W3" s="2">
        <v>13515000</v>
      </c>
    </row>
    <row r="4" spans="1:23" x14ac:dyDescent="0.25">
      <c r="A4" s="2">
        <v>215</v>
      </c>
      <c r="B4" s="2">
        <v>503900</v>
      </c>
      <c r="C4" s="3" t="s">
        <v>51</v>
      </c>
      <c r="D4" s="2">
        <v>12</v>
      </c>
      <c r="E4" s="2">
        <v>4562031</v>
      </c>
      <c r="F4" s="2">
        <v>723969</v>
      </c>
      <c r="G4" s="7">
        <v>0.4677</v>
      </c>
      <c r="H4" s="2">
        <v>1500</v>
      </c>
      <c r="I4" s="2">
        <v>3750</v>
      </c>
      <c r="J4" s="2">
        <v>6750</v>
      </c>
      <c r="K4" s="2">
        <v>10500</v>
      </c>
      <c r="L4" s="2">
        <v>15000</v>
      </c>
      <c r="M4" s="2">
        <v>260000</v>
      </c>
      <c r="N4" s="2">
        <v>540000</v>
      </c>
      <c r="O4" s="2">
        <v>840000</v>
      </c>
      <c r="P4" s="2">
        <v>1170000</v>
      </c>
      <c r="Q4" s="2">
        <v>1606000</v>
      </c>
      <c r="R4" s="2">
        <v>2696000</v>
      </c>
      <c r="S4" s="2">
        <v>3926000</v>
      </c>
      <c r="T4" s="2">
        <v>5286000</v>
      </c>
      <c r="U4" s="2">
        <v>6786000</v>
      </c>
      <c r="V4" s="2">
        <v>8426000</v>
      </c>
      <c r="W4" s="2">
        <v>13426000</v>
      </c>
    </row>
    <row r="5" spans="1:23" x14ac:dyDescent="0.25">
      <c r="A5" s="2">
        <v>330</v>
      </c>
      <c r="B5" s="2">
        <v>505000</v>
      </c>
      <c r="C5" s="3" t="s">
        <v>56</v>
      </c>
      <c r="D5" s="2">
        <v>12</v>
      </c>
      <c r="E5" s="2">
        <v>4207888</v>
      </c>
      <c r="F5" s="2">
        <v>952112</v>
      </c>
      <c r="G5" s="7">
        <v>0.2999</v>
      </c>
      <c r="H5" s="2">
        <v>2000</v>
      </c>
      <c r="I5" s="2">
        <v>5000</v>
      </c>
      <c r="J5" s="2">
        <v>9000</v>
      </c>
      <c r="K5" s="2">
        <v>14000</v>
      </c>
      <c r="L5" s="2">
        <v>20000</v>
      </c>
      <c r="M5" s="2">
        <v>230000</v>
      </c>
      <c r="N5" s="2">
        <v>460000</v>
      </c>
      <c r="O5" s="2">
        <v>730000</v>
      </c>
      <c r="P5" s="2">
        <v>1080000</v>
      </c>
      <c r="Q5" s="2">
        <v>1480000</v>
      </c>
      <c r="R5" s="2">
        <v>2570000</v>
      </c>
      <c r="S5" s="2">
        <v>3800000</v>
      </c>
      <c r="T5" s="2">
        <v>5160000</v>
      </c>
      <c r="U5" s="2">
        <v>6660000</v>
      </c>
      <c r="V5" s="2">
        <v>8300000</v>
      </c>
      <c r="W5" s="2">
        <v>13300000</v>
      </c>
    </row>
    <row r="6" spans="1:23" x14ac:dyDescent="0.25">
      <c r="A6" s="2">
        <v>36</v>
      </c>
      <c r="B6" s="2">
        <v>501500</v>
      </c>
      <c r="C6" s="3" t="s">
        <v>43</v>
      </c>
      <c r="D6" s="2">
        <v>12</v>
      </c>
      <c r="E6" s="2">
        <v>3721092</v>
      </c>
      <c r="F6" s="2">
        <v>1048908</v>
      </c>
      <c r="G6" s="7">
        <v>0.22869999999999999</v>
      </c>
      <c r="H6" s="2">
        <v>3000</v>
      </c>
      <c r="I6" s="2">
        <v>9125</v>
      </c>
      <c r="J6" s="2">
        <v>15250</v>
      </c>
      <c r="K6" s="2">
        <v>21375</v>
      </c>
      <c r="L6" s="2">
        <v>27500</v>
      </c>
      <c r="M6" s="2">
        <v>220000</v>
      </c>
      <c r="N6" s="2">
        <v>430000</v>
      </c>
      <c r="O6" s="2">
        <v>645000</v>
      </c>
      <c r="P6" s="2">
        <v>865000</v>
      </c>
      <c r="Q6" s="2">
        <v>1090000</v>
      </c>
      <c r="R6" s="2">
        <v>2180000</v>
      </c>
      <c r="S6" s="2">
        <v>3410000</v>
      </c>
      <c r="T6" s="2">
        <v>4770000</v>
      </c>
      <c r="U6" s="2">
        <v>6270000</v>
      </c>
      <c r="V6" s="2">
        <v>7910000</v>
      </c>
      <c r="W6" s="2">
        <v>12910000</v>
      </c>
    </row>
    <row r="7" spans="1:23" x14ac:dyDescent="0.25">
      <c r="A7" s="2">
        <v>258</v>
      </c>
      <c r="B7" s="2">
        <v>504400</v>
      </c>
      <c r="C7" s="3" t="s">
        <v>54</v>
      </c>
      <c r="D7" s="2">
        <v>12</v>
      </c>
      <c r="E7" s="2">
        <v>3594292</v>
      </c>
      <c r="F7" s="2">
        <v>1335708</v>
      </c>
      <c r="G7" s="7">
        <v>1.7899999999999999E-2</v>
      </c>
      <c r="H7" s="2">
        <v>4000</v>
      </c>
      <c r="I7" s="2">
        <v>16000</v>
      </c>
      <c r="J7" s="2">
        <v>19000</v>
      </c>
      <c r="K7" s="2">
        <v>32000</v>
      </c>
      <c r="L7" s="2">
        <v>35000</v>
      </c>
      <c r="M7" s="2">
        <v>160000</v>
      </c>
      <c r="N7" s="2">
        <v>440000</v>
      </c>
      <c r="O7" s="2">
        <v>700000</v>
      </c>
      <c r="P7" s="2">
        <v>980000</v>
      </c>
      <c r="Q7" s="2">
        <v>1250000</v>
      </c>
      <c r="R7" s="2">
        <v>2340000</v>
      </c>
      <c r="S7" s="2">
        <v>3570000</v>
      </c>
      <c r="T7" s="2">
        <v>4930000</v>
      </c>
      <c r="U7" s="2">
        <v>6430000</v>
      </c>
      <c r="V7" s="2">
        <v>8070000</v>
      </c>
      <c r="W7" s="2">
        <v>13070000</v>
      </c>
    </row>
    <row r="8" spans="1:23" x14ac:dyDescent="0.25">
      <c r="A8" s="2">
        <v>236</v>
      </c>
      <c r="B8" s="2">
        <v>504100</v>
      </c>
      <c r="C8" s="3" t="s">
        <v>52</v>
      </c>
      <c r="D8" s="2">
        <v>11</v>
      </c>
      <c r="E8" s="2">
        <v>3239496</v>
      </c>
      <c r="F8" s="2">
        <v>565504</v>
      </c>
      <c r="G8" s="7">
        <v>0.54020000000000001</v>
      </c>
      <c r="H8" s="2">
        <v>4000</v>
      </c>
      <c r="I8" s="2">
        <v>16000</v>
      </c>
      <c r="J8" s="2">
        <v>19000</v>
      </c>
      <c r="K8" s="2">
        <v>32000</v>
      </c>
      <c r="L8" s="2">
        <v>35000</v>
      </c>
      <c r="M8" s="2">
        <v>220000</v>
      </c>
      <c r="N8" s="2">
        <v>500000</v>
      </c>
      <c r="O8" s="2">
        <v>790000</v>
      </c>
      <c r="P8" s="2">
        <v>1090000</v>
      </c>
      <c r="Q8" s="2">
        <v>1485000</v>
      </c>
      <c r="R8" s="2">
        <v>2575000</v>
      </c>
      <c r="S8" s="2">
        <v>3805000</v>
      </c>
      <c r="T8" s="2">
        <v>5165000</v>
      </c>
      <c r="U8" s="2">
        <v>6665000</v>
      </c>
      <c r="V8" s="2">
        <v>8305000</v>
      </c>
      <c r="W8" s="2">
        <v>13305000</v>
      </c>
    </row>
    <row r="9" spans="1:23" x14ac:dyDescent="0.25">
      <c r="A9" s="2">
        <v>38</v>
      </c>
      <c r="B9" s="2">
        <v>502100</v>
      </c>
      <c r="C9" s="3" t="s">
        <v>46</v>
      </c>
      <c r="D9" s="2">
        <v>11</v>
      </c>
      <c r="E9" s="2">
        <v>2653630</v>
      </c>
      <c r="F9" s="2">
        <v>1031370</v>
      </c>
      <c r="G9" s="7">
        <v>0.1615</v>
      </c>
      <c r="H9" s="2">
        <v>3000</v>
      </c>
      <c r="I9" s="2">
        <v>9125</v>
      </c>
      <c r="J9" s="2">
        <v>15250</v>
      </c>
      <c r="K9" s="2">
        <v>21375</v>
      </c>
      <c r="L9" s="2">
        <v>27500</v>
      </c>
      <c r="M9" s="2">
        <v>270000</v>
      </c>
      <c r="N9" s="2">
        <v>520000</v>
      </c>
      <c r="O9" s="2">
        <v>780000</v>
      </c>
      <c r="P9" s="2">
        <v>1050000</v>
      </c>
      <c r="Q9" s="2">
        <v>1365000</v>
      </c>
      <c r="R9" s="2">
        <v>2455000</v>
      </c>
      <c r="S9" s="2">
        <v>3685000</v>
      </c>
      <c r="T9" s="2">
        <v>5045000</v>
      </c>
      <c r="U9" s="2">
        <v>6545000</v>
      </c>
      <c r="V9" s="2">
        <v>8185000</v>
      </c>
      <c r="W9" s="2">
        <v>13185000</v>
      </c>
    </row>
    <row r="10" spans="1:23" x14ac:dyDescent="0.25">
      <c r="A10" s="2">
        <v>120</v>
      </c>
      <c r="B10" s="2">
        <v>501200</v>
      </c>
      <c r="C10" s="3" t="s">
        <v>47</v>
      </c>
      <c r="D10" s="2">
        <v>10</v>
      </c>
      <c r="E10" s="2">
        <v>2481267</v>
      </c>
      <c r="F10" s="2">
        <v>138733</v>
      </c>
      <c r="G10" s="7">
        <v>0.87270000000000003</v>
      </c>
      <c r="H10" s="2">
        <v>4000</v>
      </c>
      <c r="I10" s="2">
        <v>16000</v>
      </c>
      <c r="J10" s="2">
        <v>19000</v>
      </c>
      <c r="K10" s="2">
        <v>32000</v>
      </c>
      <c r="L10" s="2">
        <v>35000</v>
      </c>
      <c r="M10" s="2">
        <v>190000</v>
      </c>
      <c r="N10" s="2">
        <v>530000</v>
      </c>
      <c r="O10" s="2">
        <v>840000</v>
      </c>
      <c r="P10" s="2">
        <v>1200000</v>
      </c>
      <c r="Q10" s="2">
        <v>1530000</v>
      </c>
      <c r="R10" s="2">
        <v>2620000</v>
      </c>
      <c r="S10" s="2">
        <v>3850000</v>
      </c>
      <c r="T10" s="2">
        <v>5210000</v>
      </c>
      <c r="U10" s="2">
        <v>6710000</v>
      </c>
      <c r="V10" s="2">
        <v>8350000</v>
      </c>
      <c r="W10" s="2">
        <v>13350000</v>
      </c>
    </row>
    <row r="11" spans="1:23" x14ac:dyDescent="0.25">
      <c r="A11" s="2">
        <v>249</v>
      </c>
      <c r="B11" s="2">
        <v>504300</v>
      </c>
      <c r="C11" s="3" t="s">
        <v>53</v>
      </c>
      <c r="D11" s="2">
        <v>10</v>
      </c>
      <c r="E11" s="2">
        <v>2075613</v>
      </c>
      <c r="F11" s="2">
        <v>414387</v>
      </c>
      <c r="G11" s="7">
        <v>0.61980000000000002</v>
      </c>
      <c r="H11" s="2">
        <v>4500</v>
      </c>
      <c r="I11" s="2">
        <v>24500</v>
      </c>
      <c r="J11" s="2">
        <v>27000</v>
      </c>
      <c r="K11" s="2">
        <v>29500</v>
      </c>
      <c r="L11" s="2">
        <v>40000</v>
      </c>
      <c r="M11" s="2">
        <v>130000</v>
      </c>
      <c r="N11" s="2">
        <v>500000</v>
      </c>
      <c r="O11" s="2">
        <v>790000</v>
      </c>
      <c r="P11" s="2">
        <v>1060000</v>
      </c>
      <c r="Q11" s="2">
        <v>1400000</v>
      </c>
      <c r="R11" s="2">
        <v>2490000</v>
      </c>
      <c r="S11" s="2">
        <v>3720000</v>
      </c>
      <c r="T11" s="2">
        <v>5080000</v>
      </c>
      <c r="U11" s="2">
        <v>6580000</v>
      </c>
      <c r="V11" s="2">
        <v>8220000</v>
      </c>
      <c r="W11" s="2">
        <v>13220000</v>
      </c>
    </row>
    <row r="12" spans="1:23" x14ac:dyDescent="0.25">
      <c r="A12" s="2">
        <v>37</v>
      </c>
      <c r="B12" s="2">
        <v>501900</v>
      </c>
      <c r="C12" s="3" t="s">
        <v>45</v>
      </c>
      <c r="D12" s="2">
        <v>10</v>
      </c>
      <c r="E12" s="2">
        <v>1983846</v>
      </c>
      <c r="F12" s="2">
        <v>801154</v>
      </c>
      <c r="G12" s="7">
        <v>0.26500000000000001</v>
      </c>
      <c r="H12" s="2">
        <v>5000</v>
      </c>
      <c r="I12" s="2">
        <v>20000</v>
      </c>
      <c r="J12" s="2">
        <v>30000</v>
      </c>
      <c r="K12" s="2">
        <v>32000</v>
      </c>
      <c r="L12" s="2">
        <v>50000</v>
      </c>
      <c r="M12" s="2">
        <v>200000</v>
      </c>
      <c r="N12" s="2">
        <v>630000</v>
      </c>
      <c r="O12" s="2">
        <v>970000</v>
      </c>
      <c r="P12" s="2">
        <v>1290000</v>
      </c>
      <c r="Q12" s="2">
        <v>1695000</v>
      </c>
      <c r="R12" s="2">
        <v>2785000</v>
      </c>
      <c r="S12" s="2">
        <v>4015000</v>
      </c>
      <c r="T12" s="2">
        <v>5375000</v>
      </c>
      <c r="U12" s="2">
        <v>6875000</v>
      </c>
      <c r="V12" s="2">
        <v>8515000</v>
      </c>
      <c r="W12" s="2">
        <v>13515000</v>
      </c>
    </row>
    <row r="13" spans="1:23" x14ac:dyDescent="0.25">
      <c r="A13" s="2">
        <v>145</v>
      </c>
      <c r="B13" s="2">
        <v>501800</v>
      </c>
      <c r="C13" s="3" t="s">
        <v>48</v>
      </c>
      <c r="D13" s="2">
        <v>10</v>
      </c>
      <c r="E13" s="2">
        <v>1937586</v>
      </c>
      <c r="F13" s="2">
        <v>702414</v>
      </c>
      <c r="G13" s="7">
        <v>0.35560000000000003</v>
      </c>
      <c r="H13" s="2">
        <v>5000</v>
      </c>
      <c r="I13" s="2">
        <v>20000</v>
      </c>
      <c r="J13" s="2">
        <v>30000</v>
      </c>
      <c r="K13" s="2">
        <v>32000</v>
      </c>
      <c r="L13" s="2">
        <v>50000</v>
      </c>
      <c r="M13" s="2">
        <v>200000</v>
      </c>
      <c r="N13" s="2">
        <v>600000</v>
      </c>
      <c r="O13" s="2">
        <v>900000</v>
      </c>
      <c r="P13" s="2">
        <v>1180000</v>
      </c>
      <c r="Q13" s="2">
        <v>1550000</v>
      </c>
      <c r="R13" s="2">
        <v>2640000</v>
      </c>
      <c r="S13" s="2">
        <v>3870000</v>
      </c>
      <c r="T13" s="2">
        <v>5230000</v>
      </c>
      <c r="U13" s="2">
        <v>6730000</v>
      </c>
      <c r="V13" s="2">
        <v>8370000</v>
      </c>
      <c r="W13" s="2">
        <v>13370000</v>
      </c>
    </row>
    <row r="14" spans="1:23" x14ac:dyDescent="0.25">
      <c r="A14" s="2">
        <v>175</v>
      </c>
      <c r="B14" s="2">
        <v>503200</v>
      </c>
      <c r="C14" s="3" t="s">
        <v>50</v>
      </c>
      <c r="D14" s="2">
        <v>10</v>
      </c>
      <c r="E14" s="2">
        <v>1640000</v>
      </c>
      <c r="F14" s="2">
        <v>1090000</v>
      </c>
      <c r="G14" s="7">
        <v>0</v>
      </c>
      <c r="H14" s="2">
        <v>3000</v>
      </c>
      <c r="I14" s="2">
        <v>9125</v>
      </c>
      <c r="J14" s="2">
        <v>15250</v>
      </c>
      <c r="K14" s="2">
        <v>21375</v>
      </c>
      <c r="L14" s="2">
        <v>27500</v>
      </c>
      <c r="M14" s="2">
        <v>310000</v>
      </c>
      <c r="N14" s="2">
        <v>610000</v>
      </c>
      <c r="O14" s="2">
        <v>930000</v>
      </c>
      <c r="P14" s="2">
        <v>1270000</v>
      </c>
      <c r="Q14" s="2">
        <v>1640000</v>
      </c>
      <c r="R14" s="2">
        <v>2730000</v>
      </c>
      <c r="S14" s="2">
        <v>3960000</v>
      </c>
      <c r="T14" s="2">
        <v>5320000</v>
      </c>
      <c r="U14" s="2">
        <v>6820000</v>
      </c>
      <c r="V14" s="2">
        <v>8460000</v>
      </c>
      <c r="W14" s="2">
        <v>13460000</v>
      </c>
    </row>
  </sheetData>
  <autoFilter ref="A1:W14" xr:uid="{00000000-0009-0000-0000-000001000000}"/>
  <phoneticPr fontId="4" type="noConversion"/>
  <conditionalFormatting sqref="F2:F14">
    <cfRule type="dataBar" priority="1">
      <dataBar>
        <cfvo type="min"/>
        <cfvo type="max"/>
        <color rgb="FFF4A65C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1431-6EC4-444B-AA5D-5FA6A36D25B6}">
  <dimension ref="A1:N20"/>
  <sheetViews>
    <sheetView workbookViewId="0">
      <selection activeCell="E29" sqref="E29"/>
    </sheetView>
  </sheetViews>
  <sheetFormatPr defaultRowHeight="14.4" x14ac:dyDescent="0.25"/>
  <cols>
    <col min="1" max="1" width="8.6640625" customWidth="1"/>
    <col min="2" max="2" width="10.6640625" customWidth="1"/>
    <col min="3" max="3" width="26.6640625" customWidth="1"/>
    <col min="4" max="6" width="12.33203125" bestFit="1" customWidth="1"/>
    <col min="7" max="7" width="11.21875" bestFit="1" customWidth="1"/>
    <col min="8" max="8" width="16.88671875" bestFit="1" customWidth="1"/>
    <col min="9" max="9" width="12.6640625" customWidth="1"/>
    <col min="10" max="11" width="13.6640625" customWidth="1"/>
    <col min="12" max="12" width="11.6640625" customWidth="1"/>
    <col min="13" max="18" width="15.6640625" customWidth="1"/>
  </cols>
  <sheetData>
    <row r="1" spans="1:14" x14ac:dyDescent="0.25">
      <c r="A1" t="s">
        <v>75</v>
      </c>
      <c r="B1" t="s">
        <v>76</v>
      </c>
      <c r="C1" s="1" t="s">
        <v>8</v>
      </c>
      <c r="D1" s="1" t="s">
        <v>86</v>
      </c>
      <c r="E1" s="1" t="s">
        <v>10</v>
      </c>
      <c r="F1" s="1" t="s">
        <v>14</v>
      </c>
      <c r="G1" s="1" t="s">
        <v>11</v>
      </c>
      <c r="H1" s="1" t="s">
        <v>12</v>
      </c>
      <c r="I1" s="1" t="s">
        <v>13</v>
      </c>
      <c r="J1" s="1" t="s">
        <v>15</v>
      </c>
      <c r="K1" s="9" t="s">
        <v>84</v>
      </c>
      <c r="L1" s="9" t="s">
        <v>77</v>
      </c>
    </row>
    <row r="2" spans="1:14" x14ac:dyDescent="0.25">
      <c r="A2">
        <v>5</v>
      </c>
      <c r="B2">
        <v>16</v>
      </c>
      <c r="C2" s="2">
        <v>1133909</v>
      </c>
      <c r="D2" s="5">
        <v>0</v>
      </c>
      <c r="E2" s="5">
        <v>1</v>
      </c>
      <c r="F2" s="5">
        <v>1</v>
      </c>
      <c r="G2" s="5">
        <v>0</v>
      </c>
      <c r="H2" s="5">
        <v>0</v>
      </c>
      <c r="I2" s="5">
        <v>0</v>
      </c>
      <c r="J2" s="5">
        <v>1</v>
      </c>
      <c r="K2" s="5">
        <v>1</v>
      </c>
      <c r="L2" s="3" t="s">
        <v>19</v>
      </c>
      <c r="N2" s="8">
        <f>SUM(C2:C6)</f>
        <v>5829171</v>
      </c>
    </row>
    <row r="3" spans="1:14" x14ac:dyDescent="0.25">
      <c r="A3">
        <v>5</v>
      </c>
      <c r="B3">
        <v>16</v>
      </c>
      <c r="C3" s="2">
        <v>1521322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0</v>
      </c>
      <c r="J3" s="17">
        <v>0</v>
      </c>
      <c r="K3" s="11">
        <v>2</v>
      </c>
      <c r="L3" t="s">
        <v>85</v>
      </c>
      <c r="N3" s="8">
        <v>6</v>
      </c>
    </row>
    <row r="4" spans="1:14" x14ac:dyDescent="0.25">
      <c r="A4">
        <v>5</v>
      </c>
      <c r="B4" s="13">
        <v>16</v>
      </c>
      <c r="C4" s="2">
        <v>1107150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17">
        <v>1</v>
      </c>
      <c r="K4" s="11">
        <v>1</v>
      </c>
      <c r="L4" s="14" t="s">
        <v>22</v>
      </c>
      <c r="N4" s="8"/>
    </row>
    <row r="5" spans="1:14" x14ac:dyDescent="0.25">
      <c r="A5">
        <v>5</v>
      </c>
      <c r="B5" s="13">
        <v>16</v>
      </c>
      <c r="C5" s="2">
        <v>911040</v>
      </c>
      <c r="D5" s="5">
        <v>1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11">
        <v>1</v>
      </c>
      <c r="L5" s="14" t="s">
        <v>32</v>
      </c>
      <c r="N5" s="8"/>
    </row>
    <row r="6" spans="1:14" x14ac:dyDescent="0.25">
      <c r="A6">
        <v>5</v>
      </c>
      <c r="B6" s="13">
        <v>16</v>
      </c>
      <c r="C6" s="2">
        <v>1155750</v>
      </c>
      <c r="D6" s="11">
        <v>1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1</v>
      </c>
      <c r="L6" s="3" t="s">
        <v>16</v>
      </c>
      <c r="N6" s="8"/>
    </row>
    <row r="7" spans="1:14" x14ac:dyDescent="0.25">
      <c r="B7" s="13"/>
      <c r="C7" s="2"/>
      <c r="D7" s="11"/>
      <c r="E7" s="11"/>
      <c r="F7" s="11"/>
      <c r="G7" s="11"/>
      <c r="H7" s="11"/>
      <c r="I7" s="11"/>
      <c r="J7" s="11"/>
      <c r="K7" s="11"/>
      <c r="L7" s="3"/>
      <c r="N7" s="8"/>
    </row>
    <row r="8" spans="1:14" x14ac:dyDescent="0.25">
      <c r="A8">
        <v>4</v>
      </c>
      <c r="B8">
        <v>12</v>
      </c>
      <c r="C8" s="2">
        <v>2012259</v>
      </c>
      <c r="D8" s="11">
        <v>0</v>
      </c>
      <c r="E8" s="11">
        <v>1</v>
      </c>
      <c r="F8" s="11">
        <v>1</v>
      </c>
      <c r="G8" s="11">
        <v>0</v>
      </c>
      <c r="H8" s="11">
        <v>0</v>
      </c>
      <c r="I8" s="11">
        <v>0</v>
      </c>
      <c r="J8" s="12">
        <v>0</v>
      </c>
      <c r="K8" s="12">
        <v>2</v>
      </c>
      <c r="L8" s="3" t="s">
        <v>78</v>
      </c>
      <c r="N8" s="8">
        <f>SUM(C8:C12)</f>
        <v>9724195</v>
      </c>
    </row>
    <row r="9" spans="1:14" x14ac:dyDescent="0.25">
      <c r="A9">
        <v>4</v>
      </c>
      <c r="B9" s="3">
        <v>12</v>
      </c>
      <c r="C9" s="2">
        <v>1049196</v>
      </c>
      <c r="D9" s="11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3" t="s">
        <v>25</v>
      </c>
      <c r="N9" s="8">
        <v>10</v>
      </c>
    </row>
    <row r="10" spans="1:14" x14ac:dyDescent="0.25">
      <c r="A10">
        <v>4</v>
      </c>
      <c r="B10" s="2">
        <v>12</v>
      </c>
      <c r="C10" s="2">
        <v>952780</v>
      </c>
      <c r="D10" s="11">
        <v>0</v>
      </c>
      <c r="E10" s="5">
        <v>1</v>
      </c>
      <c r="F10" s="5">
        <v>0</v>
      </c>
      <c r="G10" s="5">
        <v>0</v>
      </c>
      <c r="H10" s="5">
        <v>1</v>
      </c>
      <c r="I10" s="5">
        <v>0</v>
      </c>
      <c r="J10" s="5">
        <v>0</v>
      </c>
      <c r="K10" s="5">
        <v>1</v>
      </c>
      <c r="L10" s="3" t="s">
        <v>29</v>
      </c>
      <c r="N10" s="8"/>
    </row>
    <row r="11" spans="1:14" x14ac:dyDescent="0.25">
      <c r="A11">
        <v>4</v>
      </c>
      <c r="B11" s="13">
        <v>12</v>
      </c>
      <c r="C11" s="2">
        <v>3279545</v>
      </c>
      <c r="D11" s="11">
        <v>0</v>
      </c>
      <c r="E11" s="11"/>
      <c r="F11" s="11">
        <v>1</v>
      </c>
      <c r="G11" s="11"/>
      <c r="H11" s="11"/>
      <c r="I11" s="11"/>
      <c r="J11" s="11"/>
      <c r="K11" s="11">
        <v>4</v>
      </c>
      <c r="L11" s="15" t="s">
        <v>80</v>
      </c>
      <c r="N11" s="8"/>
    </row>
    <row r="12" spans="1:14" x14ac:dyDescent="0.25">
      <c r="A12">
        <v>4</v>
      </c>
      <c r="B12" s="13">
        <v>12</v>
      </c>
      <c r="C12" s="2">
        <v>2430415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3</v>
      </c>
      <c r="L12" s="15" t="s">
        <v>83</v>
      </c>
      <c r="N12" s="8"/>
    </row>
    <row r="13" spans="1:14" x14ac:dyDescent="0.25">
      <c r="B13" s="13"/>
      <c r="C13" s="2"/>
      <c r="D13" s="11"/>
      <c r="E13" s="11"/>
      <c r="F13" s="11"/>
      <c r="G13" s="11"/>
      <c r="H13" s="11"/>
      <c r="I13" s="11"/>
      <c r="J13" s="11"/>
      <c r="K13" s="11"/>
      <c r="L13" s="15"/>
      <c r="N13" s="8"/>
    </row>
    <row r="14" spans="1:14" x14ac:dyDescent="0.25">
      <c r="A14">
        <v>3</v>
      </c>
      <c r="B14" s="3">
        <v>7</v>
      </c>
      <c r="C14" s="2">
        <v>1853494</v>
      </c>
      <c r="D14" s="11">
        <v>0</v>
      </c>
      <c r="E14" s="5">
        <v>1</v>
      </c>
      <c r="F14" s="5">
        <v>1</v>
      </c>
      <c r="G14" s="5">
        <v>0</v>
      </c>
      <c r="H14" s="5">
        <v>0</v>
      </c>
      <c r="I14" s="5">
        <v>0</v>
      </c>
      <c r="J14" s="18">
        <v>0</v>
      </c>
      <c r="K14" s="18">
        <v>2</v>
      </c>
      <c r="L14" s="3" t="s">
        <v>79</v>
      </c>
      <c r="N14" s="8">
        <f>SUM(C14:C18)</f>
        <v>5958997</v>
      </c>
    </row>
    <row r="15" spans="1:14" x14ac:dyDescent="0.25">
      <c r="A15">
        <v>3</v>
      </c>
      <c r="B15" s="3">
        <v>7</v>
      </c>
      <c r="C15" s="2">
        <v>821778</v>
      </c>
      <c r="D15" s="11">
        <v>0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3" t="s">
        <v>34</v>
      </c>
      <c r="N15" s="21">
        <v>8</v>
      </c>
    </row>
    <row r="16" spans="1:14" x14ac:dyDescent="0.25">
      <c r="A16">
        <v>3</v>
      </c>
      <c r="B16" s="2">
        <v>7</v>
      </c>
      <c r="C16" s="2">
        <v>1371050</v>
      </c>
      <c r="D16" s="11">
        <v>0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2</v>
      </c>
      <c r="L16" s="19" t="s">
        <v>81</v>
      </c>
    </row>
    <row r="17" spans="1:12" x14ac:dyDescent="0.25">
      <c r="A17">
        <v>3</v>
      </c>
      <c r="B17" s="13">
        <v>7</v>
      </c>
      <c r="C17" s="2">
        <v>286112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1</v>
      </c>
      <c r="L17" s="20" t="s">
        <v>41</v>
      </c>
    </row>
    <row r="18" spans="1:12" x14ac:dyDescent="0.25">
      <c r="A18">
        <v>3</v>
      </c>
      <c r="B18" s="13">
        <v>7</v>
      </c>
      <c r="C18" s="2">
        <v>1626563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2</v>
      </c>
      <c r="L18" s="3" t="s">
        <v>82</v>
      </c>
    </row>
    <row r="19" spans="1:12" ht="13.8" customHeight="1" x14ac:dyDescent="0.25">
      <c r="B19" s="13"/>
      <c r="C19" s="13"/>
      <c r="D19" s="11"/>
      <c r="E19" s="11"/>
      <c r="F19" s="11"/>
      <c r="G19" s="11"/>
      <c r="H19" s="11"/>
      <c r="I19" s="11"/>
      <c r="J19" s="11"/>
      <c r="K19" s="11"/>
      <c r="L19" s="14"/>
    </row>
    <row r="20" spans="1:12" x14ac:dyDescent="0.25">
      <c r="B20" s="13"/>
      <c r="C20" s="13"/>
      <c r="D20" s="11"/>
      <c r="E20" s="11"/>
      <c r="F20" s="11"/>
      <c r="G20" s="11"/>
      <c r="H20" s="11"/>
      <c r="I20" s="11"/>
      <c r="J20" s="11"/>
      <c r="K20" s="11"/>
      <c r="L20" s="14"/>
    </row>
  </sheetData>
  <sortState xmlns:xlrd2="http://schemas.microsoft.com/office/spreadsheetml/2017/richdata2" ref="A2:L20">
    <sortCondition descending="1" ref="A1:A20"/>
  </sortState>
  <phoneticPr fontId="4" type="noConversion"/>
  <conditionalFormatting sqref="C85:C1048576 C1:C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{376E3D36-A9B0-404E-A8DE-CE543CAC0439}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6E3D36-A9B0-404E-A8DE-CE543CAC04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C85:C1048576 C1:C20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16CF-6287-4CFC-996C-5DA688BE20EA}">
  <dimension ref="A1:M8"/>
  <sheetViews>
    <sheetView workbookViewId="0">
      <selection activeCell="G29" sqref="G29"/>
    </sheetView>
  </sheetViews>
  <sheetFormatPr defaultRowHeight="14.4" x14ac:dyDescent="0.25"/>
  <cols>
    <col min="7" max="10" width="11.6640625" bestFit="1" customWidth="1"/>
    <col min="11" max="11" width="12.77734375" bestFit="1" customWidth="1"/>
    <col min="12" max="12" width="17.21875" bestFit="1" customWidth="1"/>
  </cols>
  <sheetData>
    <row r="1" spans="1:13" x14ac:dyDescent="0.25">
      <c r="A1">
        <f>4748</f>
        <v>4748</v>
      </c>
      <c r="B1">
        <f>3+0.04*3+0.7*3</f>
        <v>5.22</v>
      </c>
      <c r="C1">
        <f>SUM(Caster冲9绊!I2:I37)/(A1*B1)*40/146</f>
        <v>237.80119889930589</v>
      </c>
    </row>
    <row r="2" spans="1:13" x14ac:dyDescent="0.25">
      <c r="A2" t="s">
        <v>96</v>
      </c>
      <c r="B2" t="s">
        <v>76</v>
      </c>
      <c r="C2">
        <v>3</v>
      </c>
      <c r="D2">
        <v>4</v>
      </c>
      <c r="E2">
        <v>5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104</v>
      </c>
      <c r="M2" t="s">
        <v>103</v>
      </c>
    </row>
    <row r="3" spans="1:13" x14ac:dyDescent="0.25">
      <c r="A3">
        <v>3330</v>
      </c>
      <c r="B3">
        <v>113</v>
      </c>
      <c r="C3">
        <v>3</v>
      </c>
      <c r="F3">
        <v>0.15</v>
      </c>
      <c r="G3">
        <f>0.2*6</f>
        <v>1.2000000000000002</v>
      </c>
      <c r="H3">
        <f>0.2*5</f>
        <v>1</v>
      </c>
      <c r="I3">
        <f>0.2*4</f>
        <v>0.8</v>
      </c>
      <c r="J3">
        <f>0.2*3</f>
        <v>0.60000000000000009</v>
      </c>
      <c r="K3">
        <f>0.2*2</f>
        <v>0.4</v>
      </c>
      <c r="L3">
        <f>0.2*1+0.05*3</f>
        <v>0.35000000000000003</v>
      </c>
      <c r="M3">
        <f>0.1*3</f>
        <v>0.30000000000000004</v>
      </c>
    </row>
    <row r="4" spans="1:13" x14ac:dyDescent="0.25">
      <c r="A4">
        <v>343</v>
      </c>
      <c r="B4">
        <v>106</v>
      </c>
      <c r="C4">
        <v>2</v>
      </c>
      <c r="D4">
        <v>1</v>
      </c>
      <c r="G4">
        <f t="shared" ref="G4:G8" si="0">0.2*6</f>
        <v>1.2000000000000002</v>
      </c>
      <c r="H4">
        <f t="shared" ref="H4:H8" si="1">0.2*5</f>
        <v>1</v>
      </c>
      <c r="I4">
        <f t="shared" ref="I4:I8" si="2">0.2*4</f>
        <v>0.8</v>
      </c>
      <c r="J4">
        <f t="shared" ref="J4:J8" si="3">0.2*3</f>
        <v>0.60000000000000009</v>
      </c>
      <c r="K4">
        <f t="shared" ref="K4:K8" si="4">0.2*2</f>
        <v>0.4</v>
      </c>
      <c r="L4">
        <f t="shared" ref="L4:L8" si="5">0.2*1+0.05*3</f>
        <v>0.35000000000000003</v>
      </c>
    </row>
    <row r="5" spans="1:13" x14ac:dyDescent="0.25">
      <c r="A5">
        <v>344</v>
      </c>
      <c r="B5">
        <v>111</v>
      </c>
      <c r="C5">
        <v>1</v>
      </c>
      <c r="D5">
        <v>2</v>
      </c>
      <c r="G5">
        <f t="shared" si="0"/>
        <v>1.2000000000000002</v>
      </c>
      <c r="H5">
        <f t="shared" si="1"/>
        <v>1</v>
      </c>
      <c r="I5">
        <f t="shared" si="2"/>
        <v>0.8</v>
      </c>
      <c r="J5">
        <f t="shared" si="3"/>
        <v>0.60000000000000009</v>
      </c>
      <c r="K5">
        <f t="shared" si="4"/>
        <v>0.4</v>
      </c>
      <c r="L5">
        <f t="shared" si="5"/>
        <v>0.35000000000000003</v>
      </c>
    </row>
    <row r="6" spans="1:13" x14ac:dyDescent="0.25">
      <c r="A6">
        <v>345</v>
      </c>
      <c r="B6">
        <v>115</v>
      </c>
      <c r="C6">
        <v>1</v>
      </c>
      <c r="D6">
        <v>1</v>
      </c>
      <c r="E6">
        <v>1</v>
      </c>
      <c r="G6">
        <f t="shared" si="0"/>
        <v>1.2000000000000002</v>
      </c>
      <c r="H6">
        <f t="shared" si="1"/>
        <v>1</v>
      </c>
      <c r="I6">
        <f t="shared" si="2"/>
        <v>0.8</v>
      </c>
      <c r="J6">
        <f t="shared" si="3"/>
        <v>0.60000000000000009</v>
      </c>
      <c r="K6">
        <f t="shared" si="4"/>
        <v>0.4</v>
      </c>
      <c r="L6">
        <f t="shared" si="5"/>
        <v>0.35000000000000003</v>
      </c>
    </row>
    <row r="7" spans="1:13" x14ac:dyDescent="0.25">
      <c r="A7">
        <v>353</v>
      </c>
      <c r="B7">
        <v>110</v>
      </c>
      <c r="C7">
        <v>2</v>
      </c>
      <c r="E7">
        <v>1</v>
      </c>
      <c r="G7">
        <f t="shared" si="0"/>
        <v>1.2000000000000002</v>
      </c>
      <c r="H7">
        <f t="shared" si="1"/>
        <v>1</v>
      </c>
      <c r="I7">
        <f t="shared" si="2"/>
        <v>0.8</v>
      </c>
      <c r="J7">
        <f t="shared" si="3"/>
        <v>0.60000000000000009</v>
      </c>
      <c r="K7">
        <f t="shared" si="4"/>
        <v>0.4</v>
      </c>
      <c r="L7">
        <f t="shared" si="5"/>
        <v>0.35000000000000003</v>
      </c>
    </row>
    <row r="8" spans="1:13" x14ac:dyDescent="0.25">
      <c r="A8">
        <v>444</v>
      </c>
      <c r="B8">
        <v>116</v>
      </c>
      <c r="D8">
        <v>3</v>
      </c>
      <c r="G8">
        <f t="shared" si="0"/>
        <v>1.2000000000000002</v>
      </c>
      <c r="H8">
        <f t="shared" si="1"/>
        <v>1</v>
      </c>
      <c r="I8">
        <f t="shared" si="2"/>
        <v>0.8</v>
      </c>
      <c r="J8">
        <f t="shared" si="3"/>
        <v>0.60000000000000009</v>
      </c>
      <c r="K8">
        <f t="shared" si="4"/>
        <v>0.4</v>
      </c>
      <c r="L8">
        <f t="shared" si="5"/>
        <v>0.35000000000000003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24CA-6C23-415F-BBD6-0BD90BFAF076}">
  <dimension ref="A1:S22"/>
  <sheetViews>
    <sheetView workbookViewId="0">
      <selection activeCell="A2" sqref="A2"/>
    </sheetView>
  </sheetViews>
  <sheetFormatPr defaultRowHeight="14.4" x14ac:dyDescent="0.25"/>
  <cols>
    <col min="1" max="1" width="11.6640625" bestFit="1" customWidth="1"/>
  </cols>
  <sheetData>
    <row r="1" spans="1:19" x14ac:dyDescent="0.25">
      <c r="A1">
        <f>4748*(3+0.04*3+0.7*3+B1)</f>
        <v>24784.559999999998</v>
      </c>
      <c r="K1">
        <v>16</v>
      </c>
      <c r="L1">
        <v>12</v>
      </c>
      <c r="M1">
        <v>7</v>
      </c>
    </row>
    <row r="2" spans="1:19" x14ac:dyDescent="0.25">
      <c r="A2" s="8">
        <f>SUM(Caster冲9绊!I2:I37)</f>
        <v>21512363</v>
      </c>
      <c r="J2">
        <v>16</v>
      </c>
      <c r="K2">
        <f>J2+K1</f>
        <v>32</v>
      </c>
      <c r="L2">
        <f>L1+J2</f>
        <v>28</v>
      </c>
      <c r="M2">
        <f>M1+J2</f>
        <v>23</v>
      </c>
      <c r="N2">
        <v>32</v>
      </c>
      <c r="O2">
        <v>28</v>
      </c>
      <c r="P2">
        <v>23</v>
      </c>
      <c r="Q2">
        <v>32</v>
      </c>
      <c r="R2">
        <v>28</v>
      </c>
      <c r="S2">
        <v>23</v>
      </c>
    </row>
    <row r="3" spans="1:19" x14ac:dyDescent="0.25">
      <c r="A3">
        <f>A2/A1*40/146</f>
        <v>237.80119889930589</v>
      </c>
      <c r="C3" t="s">
        <v>88</v>
      </c>
      <c r="D3" t="s">
        <v>89</v>
      </c>
      <c r="E3" t="s">
        <v>90</v>
      </c>
      <c r="F3" t="s">
        <v>91</v>
      </c>
      <c r="J3">
        <v>12</v>
      </c>
      <c r="K3">
        <f>K1+J3</f>
        <v>28</v>
      </c>
      <c r="L3">
        <f>L1+J3</f>
        <v>24</v>
      </c>
      <c r="M3">
        <f>M1+J3</f>
        <v>19</v>
      </c>
      <c r="N3">
        <v>28</v>
      </c>
      <c r="O3">
        <v>24</v>
      </c>
      <c r="P3">
        <v>19</v>
      </c>
      <c r="Q3">
        <v>28</v>
      </c>
      <c r="R3">
        <v>24</v>
      </c>
      <c r="S3">
        <v>19</v>
      </c>
    </row>
    <row r="4" spans="1:19" x14ac:dyDescent="0.25">
      <c r="C4">
        <v>12</v>
      </c>
      <c r="D4">
        <v>16</v>
      </c>
      <c r="E4">
        <v>12</v>
      </c>
      <c r="F4">
        <v>7</v>
      </c>
      <c r="J4">
        <v>7</v>
      </c>
      <c r="K4">
        <f>K1+J4</f>
        <v>23</v>
      </c>
      <c r="L4">
        <f>L1+J4</f>
        <v>19</v>
      </c>
      <c r="M4">
        <f>M1+J4</f>
        <v>14</v>
      </c>
      <c r="N4">
        <v>23</v>
      </c>
      <c r="O4">
        <v>19</v>
      </c>
      <c r="P4">
        <v>14</v>
      </c>
      <c r="Q4">
        <v>23</v>
      </c>
      <c r="R4">
        <v>19</v>
      </c>
      <c r="S4">
        <v>14</v>
      </c>
    </row>
    <row r="5" spans="1:19" x14ac:dyDescent="0.25">
      <c r="A5" t="s">
        <v>87</v>
      </c>
      <c r="B5">
        <f>16+16+12+12+12+12</f>
        <v>80</v>
      </c>
      <c r="C5">
        <v>116</v>
      </c>
      <c r="K5">
        <v>16</v>
      </c>
      <c r="N5">
        <v>12</v>
      </c>
      <c r="Q5">
        <v>7</v>
      </c>
    </row>
    <row r="6" spans="1:19" x14ac:dyDescent="0.25">
      <c r="A6" t="s">
        <v>92</v>
      </c>
      <c r="B6">
        <f>B5+3*F4+C4</f>
        <v>113</v>
      </c>
      <c r="K6">
        <f t="shared" ref="K6:M8" si="0">K2+$K$5</f>
        <v>48</v>
      </c>
      <c r="L6">
        <f t="shared" si="0"/>
        <v>44</v>
      </c>
      <c r="M6">
        <f t="shared" si="0"/>
        <v>39</v>
      </c>
      <c r="N6">
        <f t="shared" ref="N6:P8" si="1">N2+$N$5</f>
        <v>44</v>
      </c>
      <c r="O6">
        <f t="shared" si="1"/>
        <v>40</v>
      </c>
      <c r="P6">
        <f t="shared" si="1"/>
        <v>35</v>
      </c>
      <c r="Q6">
        <f t="shared" ref="Q6:S8" si="2">Q2+$Q$5</f>
        <v>39</v>
      </c>
      <c r="R6">
        <f t="shared" si="2"/>
        <v>35</v>
      </c>
      <c r="S6">
        <f t="shared" si="2"/>
        <v>30</v>
      </c>
    </row>
    <row r="7" spans="1:19" x14ac:dyDescent="0.25">
      <c r="A7" t="s">
        <v>93</v>
      </c>
      <c r="K7">
        <f t="shared" si="0"/>
        <v>44</v>
      </c>
      <c r="L7">
        <f t="shared" si="0"/>
        <v>40</v>
      </c>
      <c r="M7">
        <f t="shared" si="0"/>
        <v>35</v>
      </c>
      <c r="N7">
        <f t="shared" si="1"/>
        <v>40</v>
      </c>
      <c r="O7">
        <f t="shared" si="1"/>
        <v>36</v>
      </c>
      <c r="P7">
        <f t="shared" si="1"/>
        <v>31</v>
      </c>
      <c r="Q7">
        <f t="shared" si="2"/>
        <v>35</v>
      </c>
      <c r="R7">
        <f t="shared" si="2"/>
        <v>31</v>
      </c>
      <c r="S7">
        <f t="shared" si="2"/>
        <v>26</v>
      </c>
    </row>
    <row r="8" spans="1:19" x14ac:dyDescent="0.25">
      <c r="A8" t="s">
        <v>94</v>
      </c>
      <c r="K8">
        <f t="shared" si="0"/>
        <v>39</v>
      </c>
      <c r="L8">
        <f t="shared" si="0"/>
        <v>35</v>
      </c>
      <c r="M8">
        <f t="shared" si="0"/>
        <v>30</v>
      </c>
      <c r="N8">
        <f t="shared" si="1"/>
        <v>35</v>
      </c>
      <c r="O8">
        <f t="shared" si="1"/>
        <v>31</v>
      </c>
      <c r="P8">
        <f t="shared" si="1"/>
        <v>26</v>
      </c>
      <c r="Q8">
        <f t="shared" si="2"/>
        <v>30</v>
      </c>
      <c r="R8">
        <f t="shared" si="2"/>
        <v>26</v>
      </c>
      <c r="S8">
        <f t="shared" si="2"/>
        <v>21</v>
      </c>
    </row>
    <row r="9" spans="1:19" x14ac:dyDescent="0.25">
      <c r="K9" s="16">
        <f>K6+80</f>
        <v>128</v>
      </c>
      <c r="L9" s="16">
        <f t="shared" ref="L9:S9" si="3">L6+80</f>
        <v>124</v>
      </c>
      <c r="M9" s="16">
        <f t="shared" si="3"/>
        <v>119</v>
      </c>
      <c r="N9" s="16">
        <f t="shared" si="3"/>
        <v>124</v>
      </c>
      <c r="O9">
        <f t="shared" si="3"/>
        <v>120</v>
      </c>
      <c r="P9">
        <f t="shared" si="3"/>
        <v>115</v>
      </c>
      <c r="Q9" s="16">
        <f t="shared" si="3"/>
        <v>119</v>
      </c>
      <c r="R9">
        <f t="shared" si="3"/>
        <v>115</v>
      </c>
      <c r="S9">
        <f t="shared" si="3"/>
        <v>110</v>
      </c>
    </row>
    <row r="10" spans="1:19" x14ac:dyDescent="0.25">
      <c r="K10" s="16">
        <f t="shared" ref="K10:S10" si="4">K7+80</f>
        <v>124</v>
      </c>
      <c r="L10">
        <f t="shared" si="4"/>
        <v>120</v>
      </c>
      <c r="M10">
        <f t="shared" si="4"/>
        <v>115</v>
      </c>
      <c r="N10">
        <f t="shared" si="4"/>
        <v>120</v>
      </c>
      <c r="O10">
        <f t="shared" si="4"/>
        <v>116</v>
      </c>
      <c r="P10">
        <f t="shared" si="4"/>
        <v>111</v>
      </c>
      <c r="Q10">
        <f t="shared" si="4"/>
        <v>115</v>
      </c>
      <c r="R10">
        <f t="shared" si="4"/>
        <v>111</v>
      </c>
      <c r="S10">
        <f t="shared" si="4"/>
        <v>106</v>
      </c>
    </row>
    <row r="11" spans="1:19" x14ac:dyDescent="0.25">
      <c r="K11" s="16">
        <f t="shared" ref="K11:S11" si="5">K8+80</f>
        <v>119</v>
      </c>
      <c r="L11">
        <f t="shared" si="5"/>
        <v>115</v>
      </c>
      <c r="M11">
        <f t="shared" si="5"/>
        <v>110</v>
      </c>
      <c r="N11">
        <f t="shared" si="5"/>
        <v>115</v>
      </c>
      <c r="O11">
        <f t="shared" si="5"/>
        <v>111</v>
      </c>
      <c r="P11">
        <f t="shared" si="5"/>
        <v>106</v>
      </c>
      <c r="Q11">
        <f t="shared" si="5"/>
        <v>110</v>
      </c>
      <c r="R11">
        <f t="shared" si="5"/>
        <v>106</v>
      </c>
      <c r="S11">
        <f t="shared" si="5"/>
        <v>101</v>
      </c>
    </row>
    <row r="12" spans="1:19" x14ac:dyDescent="0.25">
      <c r="J12">
        <v>12</v>
      </c>
      <c r="K12">
        <f t="shared" ref="K12:S12" si="6">K9+$J$12</f>
        <v>140</v>
      </c>
      <c r="L12">
        <f t="shared" si="6"/>
        <v>136</v>
      </c>
      <c r="M12">
        <f t="shared" si="6"/>
        <v>131</v>
      </c>
      <c r="N12">
        <f t="shared" si="6"/>
        <v>136</v>
      </c>
      <c r="O12">
        <f t="shared" si="6"/>
        <v>132</v>
      </c>
      <c r="P12">
        <f t="shared" si="6"/>
        <v>127</v>
      </c>
      <c r="Q12">
        <f t="shared" si="6"/>
        <v>131</v>
      </c>
      <c r="R12">
        <f t="shared" si="6"/>
        <v>127</v>
      </c>
      <c r="S12">
        <f t="shared" si="6"/>
        <v>122</v>
      </c>
    </row>
    <row r="13" spans="1:19" x14ac:dyDescent="0.25">
      <c r="K13">
        <f t="shared" ref="K13:S13" si="7">K10+$J$12</f>
        <v>136</v>
      </c>
      <c r="L13">
        <f t="shared" si="7"/>
        <v>132</v>
      </c>
      <c r="M13">
        <f t="shared" si="7"/>
        <v>127</v>
      </c>
      <c r="N13">
        <f t="shared" si="7"/>
        <v>132</v>
      </c>
      <c r="O13">
        <f t="shared" si="7"/>
        <v>128</v>
      </c>
      <c r="P13">
        <f t="shared" si="7"/>
        <v>123</v>
      </c>
      <c r="Q13">
        <f t="shared" si="7"/>
        <v>127</v>
      </c>
      <c r="R13">
        <f t="shared" si="7"/>
        <v>123</v>
      </c>
      <c r="S13">
        <f t="shared" si="7"/>
        <v>118</v>
      </c>
    </row>
    <row r="14" spans="1:19" x14ac:dyDescent="0.25">
      <c r="K14">
        <f t="shared" ref="K14:S14" si="8">K11+$J$12</f>
        <v>131</v>
      </c>
      <c r="L14">
        <f t="shared" si="8"/>
        <v>127</v>
      </c>
      <c r="M14">
        <f t="shared" si="8"/>
        <v>122</v>
      </c>
      <c r="N14">
        <f t="shared" si="8"/>
        <v>127</v>
      </c>
      <c r="O14">
        <f t="shared" si="8"/>
        <v>123</v>
      </c>
      <c r="P14">
        <f t="shared" si="8"/>
        <v>118</v>
      </c>
      <c r="Q14">
        <f t="shared" si="8"/>
        <v>122</v>
      </c>
      <c r="R14">
        <f t="shared" si="8"/>
        <v>118</v>
      </c>
      <c r="S14">
        <f t="shared" si="8"/>
        <v>113</v>
      </c>
    </row>
    <row r="15" spans="1:19" x14ac:dyDescent="0.25">
      <c r="P15">
        <v>5</v>
      </c>
      <c r="R15">
        <v>5</v>
      </c>
      <c r="S15">
        <v>5</v>
      </c>
    </row>
    <row r="16" spans="1:19" x14ac:dyDescent="0.25">
      <c r="M16">
        <v>4</v>
      </c>
      <c r="O16">
        <v>4</v>
      </c>
      <c r="P16">
        <v>4</v>
      </c>
      <c r="Q16">
        <v>4</v>
      </c>
      <c r="R16">
        <v>4</v>
      </c>
      <c r="S16">
        <v>4</v>
      </c>
    </row>
    <row r="17" spans="1:19" x14ac:dyDescent="0.25">
      <c r="A17" t="s">
        <v>95</v>
      </c>
      <c r="B17">
        <f>3*F4+B5+12</f>
        <v>113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</row>
    <row r="18" spans="1:19" x14ac:dyDescent="0.25">
      <c r="A18">
        <v>343</v>
      </c>
      <c r="B18">
        <f>F4*2+E4+B5</f>
        <v>106</v>
      </c>
      <c r="L18">
        <v>4</v>
      </c>
    </row>
    <row r="19" spans="1:19" x14ac:dyDescent="0.25">
      <c r="A19">
        <v>344</v>
      </c>
      <c r="B19">
        <f>E4*2+F4+B5</f>
        <v>111</v>
      </c>
    </row>
    <row r="20" spans="1:19" x14ac:dyDescent="0.25">
      <c r="A20">
        <v>345</v>
      </c>
      <c r="B20">
        <f>B5+D4+E4+F4</f>
        <v>115</v>
      </c>
    </row>
    <row r="21" spans="1:19" x14ac:dyDescent="0.25">
      <c r="A21">
        <v>353</v>
      </c>
      <c r="B21">
        <f>B5+2*F4+D4</f>
        <v>110</v>
      </c>
    </row>
    <row r="22" spans="1:19" x14ac:dyDescent="0.25">
      <c r="A22">
        <v>444</v>
      </c>
      <c r="B22">
        <f>B5+E4*3</f>
        <v>116</v>
      </c>
    </row>
  </sheetData>
  <phoneticPr fontId="4" type="noConversion"/>
  <conditionalFormatting sqref="K9:S14">
    <cfRule type="cellIs" dxfId="3" priority="1" operator="lessThanOrEqual">
      <formula>116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6196-6122-48F3-BB4A-22B5BF93899F}">
  <dimension ref="A1:AG112"/>
  <sheetViews>
    <sheetView tabSelected="1" zoomScale="85" zoomScaleNormal="85" workbookViewId="0">
      <selection activeCell="R21" sqref="R21"/>
    </sheetView>
  </sheetViews>
  <sheetFormatPr defaultRowHeight="14.4" x14ac:dyDescent="0.25"/>
  <cols>
    <col min="1" max="1" width="16.88671875" bestFit="1" customWidth="1"/>
    <col min="2" max="2" width="13.88671875" bestFit="1" customWidth="1"/>
    <col min="3" max="10" width="2.77734375" customWidth="1"/>
    <col min="11" max="11" width="13.88671875" style="24" bestFit="1" customWidth="1"/>
    <col min="12" max="12" width="8.88671875" style="22"/>
    <col min="13" max="13" width="10.5546875" bestFit="1" customWidth="1"/>
    <col min="14" max="14" width="12.77734375" bestFit="1" customWidth="1"/>
    <col min="15" max="15" width="12.109375" bestFit="1" customWidth="1"/>
    <col min="17" max="17" width="12.109375" bestFit="1" customWidth="1"/>
  </cols>
  <sheetData>
    <row r="1" spans="1:29" x14ac:dyDescent="0.25">
      <c r="M1" t="s">
        <v>120</v>
      </c>
      <c r="N1">
        <f>N3-P3+R3</f>
        <v>19.116448326055313</v>
      </c>
    </row>
    <row r="2" spans="1:29" x14ac:dyDescent="0.25">
      <c r="M2" t="s">
        <v>112</v>
      </c>
      <c r="N2">
        <f>N3*40/146</f>
        <v>5.4794520547945202</v>
      </c>
    </row>
    <row r="3" spans="1:29" x14ac:dyDescent="0.25">
      <c r="L3"/>
      <c r="M3" t="s">
        <v>121</v>
      </c>
      <c r="N3">
        <f>ROUNDUP((1/MAX(N8:N32)),0)</f>
        <v>20</v>
      </c>
      <c r="O3" t="s">
        <v>114</v>
      </c>
      <c r="P3">
        <f>SUM(L8:L32)/(3*4748*(1+0.04+0.4+0.4+0.05+0.4))</f>
        <v>0.88355167394468703</v>
      </c>
      <c r="Q3" t="s">
        <v>115</v>
      </c>
      <c r="R3" cm="1">
        <f t="array" ref="R3">((SUM(K8:K32*C8:H32)-SUM(K8:K32*C8:H32*C6:H6))/SUM(K8:K32*C8:H32))</f>
        <v>0</v>
      </c>
    </row>
    <row r="4" spans="1:29" x14ac:dyDescent="0.25">
      <c r="M4" s="24" t="s">
        <v>119</v>
      </c>
      <c r="N4">
        <f>SUM(K8:K32)</f>
        <v>3</v>
      </c>
      <c r="Q4" t="s">
        <v>116</v>
      </c>
      <c r="R4" cm="1">
        <f t="array" ref="R4">SUM(K8:K32*C8:H32*C6:H6)</f>
        <v>2</v>
      </c>
    </row>
    <row r="5" spans="1:29" x14ac:dyDescent="0.25">
      <c r="B5" t="s">
        <v>108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0.05</v>
      </c>
      <c r="J5">
        <v>0.05</v>
      </c>
      <c r="M5" t="s">
        <v>124</v>
      </c>
      <c r="N5" cm="1">
        <f t="array" ref="N5">IF(SUM(K8:K32*B8:B32)=21,1,0)</f>
        <v>0</v>
      </c>
      <c r="Q5" t="s">
        <v>117</v>
      </c>
      <c r="R5" cm="1">
        <f t="array" ref="R5">SUM(K8:K32*C8:H32)</f>
        <v>2</v>
      </c>
    </row>
    <row r="6" spans="1:29" x14ac:dyDescent="0.25">
      <c r="B6" t="s">
        <v>107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 s="24">
        <f>SUM(C6:J6)</f>
        <v>2</v>
      </c>
      <c r="M6" t="s">
        <v>111</v>
      </c>
      <c r="N6" cm="1">
        <f t="array" ref="N6">SUM(K8:K32*B8:B32)+80</f>
        <v>111</v>
      </c>
    </row>
    <row r="7" spans="1:29" x14ac:dyDescent="0.25">
      <c r="A7" s="23" t="s">
        <v>106</v>
      </c>
      <c r="B7" t="s">
        <v>105</v>
      </c>
      <c r="C7" s="1" t="s">
        <v>10</v>
      </c>
      <c r="D7" s="1" t="s">
        <v>14</v>
      </c>
      <c r="E7" s="1" t="s">
        <v>11</v>
      </c>
      <c r="F7" s="1" t="s">
        <v>12</v>
      </c>
      <c r="G7" s="1" t="s">
        <v>13</v>
      </c>
      <c r="H7" s="1" t="s">
        <v>15</v>
      </c>
      <c r="I7" s="1" t="s">
        <v>122</v>
      </c>
      <c r="J7" s="1" t="s">
        <v>123</v>
      </c>
      <c r="K7" s="24" t="s">
        <v>109</v>
      </c>
      <c r="L7" s="25" t="s">
        <v>110</v>
      </c>
      <c r="M7" s="26" t="s">
        <v>125</v>
      </c>
      <c r="N7" s="27" t="s">
        <v>113</v>
      </c>
      <c r="O7" s="27" t="s">
        <v>126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x14ac:dyDescent="0.25">
      <c r="A8" s="3" t="s">
        <v>19</v>
      </c>
      <c r="B8" s="2">
        <v>16</v>
      </c>
      <c r="C8" s="5">
        <v>1</v>
      </c>
      <c r="D8" s="5">
        <v>1</v>
      </c>
      <c r="E8" s="5">
        <v>0</v>
      </c>
      <c r="F8" s="5">
        <v>0</v>
      </c>
      <c r="G8" s="5">
        <v>0</v>
      </c>
      <c r="H8" s="5">
        <v>1</v>
      </c>
      <c r="I8" s="10">
        <v>1</v>
      </c>
      <c r="J8" s="10">
        <v>1</v>
      </c>
      <c r="K8" s="24">
        <v>0</v>
      </c>
      <c r="L8" s="22" cm="1">
        <f t="array" ref="L8">K8*4748*(1+0.04+0.4+0.4+$N$5*0.05+SUM($C8:$J8*$C$6:$J$6*$C$5:$J$5))</f>
        <v>0</v>
      </c>
      <c r="M8" s="2">
        <v>1133909</v>
      </c>
      <c r="N8" s="22">
        <f>L8/M8</f>
        <v>0</v>
      </c>
      <c r="O8" s="22">
        <f>M8-$N$3*L8</f>
        <v>1133909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9" x14ac:dyDescent="0.25">
      <c r="A9" s="3" t="s">
        <v>26</v>
      </c>
      <c r="B9" s="2">
        <v>12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10">
        <v>1</v>
      </c>
      <c r="J9" s="10">
        <v>1</v>
      </c>
      <c r="K9" s="24">
        <v>0</v>
      </c>
      <c r="L9" s="22" cm="1">
        <f t="array" ref="L9">K9*4748*(1+0.04+0.4+0.4+$N$5*0.05+SUM($C9:$J9*$C$6:$J$6*$C$5:$J$5))</f>
        <v>0</v>
      </c>
      <c r="M9" s="2">
        <v>1046800</v>
      </c>
      <c r="N9" s="22">
        <f t="shared" ref="N9:N32" si="0">L9/M9</f>
        <v>0</v>
      </c>
      <c r="O9" s="22">
        <f t="shared" ref="O9:O32" si="1">M9-$N$3*L9</f>
        <v>1046800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9" x14ac:dyDescent="0.25">
      <c r="A10" s="3" t="s">
        <v>30</v>
      </c>
      <c r="B10" s="2">
        <v>7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10">
        <v>1</v>
      </c>
      <c r="J10" s="10">
        <v>1</v>
      </c>
      <c r="K10" s="24">
        <v>0</v>
      </c>
      <c r="L10" s="22" cm="1">
        <f t="array" ref="L10">K10*4748*(1+0.04+0.4+0.4+$N$5*0.05+SUM($C10:$J10*$C$6:$J$6*$C$5:$J$5))</f>
        <v>0</v>
      </c>
      <c r="M10" s="2">
        <v>932877</v>
      </c>
      <c r="N10" s="22">
        <f t="shared" si="0"/>
        <v>0</v>
      </c>
      <c r="O10" s="22">
        <f t="shared" si="1"/>
        <v>932877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9" x14ac:dyDescent="0.25">
      <c r="A11" s="3" t="s">
        <v>31</v>
      </c>
      <c r="B11" s="2">
        <v>7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10">
        <v>1</v>
      </c>
      <c r="J11" s="10">
        <v>1</v>
      </c>
      <c r="K11" s="24">
        <v>0</v>
      </c>
      <c r="L11" s="22" cm="1">
        <f t="array" ref="L11">K11*4748*(1+0.04+0.4+0.4+$N$5*0.05+SUM($C11:$J11*$C$6:$J$6*$C$5:$J$5))</f>
        <v>0</v>
      </c>
      <c r="M11" s="2">
        <v>920617</v>
      </c>
      <c r="N11" s="22">
        <f t="shared" si="0"/>
        <v>0</v>
      </c>
      <c r="O11" s="22">
        <f t="shared" si="1"/>
        <v>920617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9" x14ac:dyDescent="0.25">
      <c r="A12" s="3" t="s">
        <v>28</v>
      </c>
      <c r="B12" s="2">
        <v>12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10">
        <v>1</v>
      </c>
      <c r="J12" s="10">
        <v>1</v>
      </c>
      <c r="K12" s="24">
        <v>0</v>
      </c>
      <c r="L12" s="22" cm="1">
        <f t="array" ref="L12">K12*4748*(1+0.04+0.4+0.4+$N$5*0.05+SUM($C12:$J12*$C$6:$J$6*$C$5:$J$5))</f>
        <v>0</v>
      </c>
      <c r="M12" s="2">
        <v>965459</v>
      </c>
      <c r="N12" s="22">
        <f t="shared" si="0"/>
        <v>0</v>
      </c>
      <c r="O12" s="22">
        <f t="shared" si="1"/>
        <v>965459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9" s="22" customFormat="1" x14ac:dyDescent="0.25">
      <c r="A13" s="3" t="s">
        <v>40</v>
      </c>
      <c r="B13" s="2">
        <v>16</v>
      </c>
      <c r="C13" s="5">
        <v>0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10">
        <v>1</v>
      </c>
      <c r="J13" s="10">
        <v>1</v>
      </c>
      <c r="K13" s="24">
        <v>0</v>
      </c>
      <c r="L13" s="22" cm="1">
        <f t="array" ref="L13">K13*4748*(1+0.04+0.4+0.4+$N$5*0.05+SUM($C13:$J13*$C$6:$J$6*$C$5:$J$5))</f>
        <v>0</v>
      </c>
      <c r="M13" s="2">
        <v>380368</v>
      </c>
      <c r="N13" s="22">
        <f t="shared" si="0"/>
        <v>0</v>
      </c>
      <c r="O13" s="22">
        <f t="shared" si="1"/>
        <v>380368</v>
      </c>
      <c r="AC13"/>
    </row>
    <row r="14" spans="1:29" x14ac:dyDescent="0.25">
      <c r="A14" s="3" t="s">
        <v>18</v>
      </c>
      <c r="B14" s="2">
        <v>16</v>
      </c>
      <c r="C14" s="5">
        <v>0</v>
      </c>
      <c r="D14" s="5">
        <v>0</v>
      </c>
      <c r="E14" s="5">
        <v>1</v>
      </c>
      <c r="F14" s="5">
        <v>1</v>
      </c>
      <c r="G14" s="5">
        <v>0</v>
      </c>
      <c r="H14" s="5">
        <v>0</v>
      </c>
      <c r="I14" s="10">
        <v>1</v>
      </c>
      <c r="J14" s="10">
        <v>1</v>
      </c>
      <c r="K14" s="24">
        <v>0</v>
      </c>
      <c r="L14" s="22" cm="1">
        <f t="array" ref="L14">K14*4748*(1+0.04+0.4+0.4+$N$5*0.05+SUM($C14:$J14*$C$6:$J$6*$C$5:$J$5))</f>
        <v>0</v>
      </c>
      <c r="M14" s="2">
        <v>1140954</v>
      </c>
      <c r="N14" s="22">
        <f t="shared" si="0"/>
        <v>0</v>
      </c>
      <c r="O14" s="22">
        <f t="shared" si="1"/>
        <v>1140954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9" x14ac:dyDescent="0.25">
      <c r="A15" s="3" t="s">
        <v>25</v>
      </c>
      <c r="B15" s="2">
        <v>12</v>
      </c>
      <c r="C15" s="5">
        <v>0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10">
        <v>1</v>
      </c>
      <c r="J15" s="10">
        <v>1</v>
      </c>
      <c r="K15" s="24">
        <v>0</v>
      </c>
      <c r="L15" s="22" cm="1">
        <f t="array" ref="L15">K15*4748*(1+0.04+0.4+0.4+$N$5*0.05+SUM($C15:$J15*$C$6:$J$6*$C$5:$J$5))</f>
        <v>0</v>
      </c>
      <c r="M15" s="2">
        <v>1049196</v>
      </c>
      <c r="N15" s="22">
        <f t="shared" si="0"/>
        <v>0</v>
      </c>
      <c r="O15" s="22">
        <f t="shared" si="1"/>
        <v>1049196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9" x14ac:dyDescent="0.25">
      <c r="A16" s="3" t="s">
        <v>34</v>
      </c>
      <c r="B16" s="2">
        <v>7</v>
      </c>
      <c r="C16" s="5">
        <v>0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10">
        <v>1</v>
      </c>
      <c r="J16" s="10">
        <v>1</v>
      </c>
      <c r="K16" s="24">
        <v>0</v>
      </c>
      <c r="L16" s="22" cm="1">
        <f t="array" ref="L16">K16*4748*(1+0.04+0.4+0.4+$N$5*0.05+SUM($C16:$J16*$C$6:$J$6*$C$5:$J$5))</f>
        <v>0</v>
      </c>
      <c r="M16" s="2">
        <v>821778</v>
      </c>
      <c r="N16" s="22">
        <f t="shared" si="0"/>
        <v>0</v>
      </c>
      <c r="O16" s="22">
        <f t="shared" si="1"/>
        <v>821778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5">
      <c r="A17" s="3" t="s">
        <v>22</v>
      </c>
      <c r="B17" s="2">
        <v>16</v>
      </c>
      <c r="C17" s="5">
        <v>0</v>
      </c>
      <c r="D17" s="5">
        <v>0</v>
      </c>
      <c r="E17" s="5">
        <v>0</v>
      </c>
      <c r="F17" s="5">
        <v>0</v>
      </c>
      <c r="G17" s="5">
        <v>1</v>
      </c>
      <c r="H17" s="5">
        <v>1</v>
      </c>
      <c r="I17" s="10">
        <v>1</v>
      </c>
      <c r="J17" s="10">
        <v>1</v>
      </c>
      <c r="K17" s="24">
        <v>0</v>
      </c>
      <c r="L17" s="22" cm="1">
        <f t="array" ref="L17">K17*4748*(1+0.04+0.4+0.4+$N$5*0.05+SUM($C17:$J17*$C$6:$J$6*$C$5:$J$5))</f>
        <v>0</v>
      </c>
      <c r="M17" s="2">
        <v>1107150</v>
      </c>
      <c r="N17" s="22">
        <f t="shared" si="0"/>
        <v>0</v>
      </c>
      <c r="O17" s="22">
        <f t="shared" si="1"/>
        <v>1107150</v>
      </c>
      <c r="P17" s="22"/>
      <c r="Q17" s="22"/>
      <c r="R17" s="22" t="s">
        <v>118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25">
      <c r="A18" s="3" t="s">
        <v>29</v>
      </c>
      <c r="B18" s="2">
        <v>12</v>
      </c>
      <c r="C18" s="5">
        <v>1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10">
        <v>1</v>
      </c>
      <c r="J18" s="10">
        <v>1</v>
      </c>
      <c r="K18" s="24">
        <v>0</v>
      </c>
      <c r="L18" s="22" cm="1">
        <f t="array" ref="L18">K18*4748*(1+0.04+0.4+0.4+$N$5*0.05+SUM($C18:$J18*$C$6:$J$6*$C$5:$J$5))</f>
        <v>0</v>
      </c>
      <c r="M18" s="2">
        <v>952780</v>
      </c>
      <c r="N18" s="22">
        <f t="shared" si="0"/>
        <v>0</v>
      </c>
      <c r="O18" s="22">
        <f t="shared" si="1"/>
        <v>952780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25">
      <c r="A19" s="3" t="s">
        <v>27</v>
      </c>
      <c r="B19" s="2">
        <v>12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10">
        <v>1</v>
      </c>
      <c r="J19" s="10">
        <v>1</v>
      </c>
      <c r="K19" s="24">
        <v>0</v>
      </c>
      <c r="L19" s="22" cm="1">
        <f t="array" ref="L19">K19*4748*(1+0.04+0.4+0.4+$N$5*0.05+SUM($C19:$J19*$C$6:$J$6*$C$5:$J$5))</f>
        <v>0</v>
      </c>
      <c r="M19" s="2">
        <v>1030373</v>
      </c>
      <c r="N19" s="22">
        <f t="shared" si="0"/>
        <v>0</v>
      </c>
      <c r="O19" s="22">
        <f t="shared" si="1"/>
        <v>1030373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25">
      <c r="A20" s="3" t="s">
        <v>24</v>
      </c>
      <c r="B20" s="2">
        <v>12</v>
      </c>
      <c r="C20" s="5">
        <v>0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10">
        <v>1</v>
      </c>
      <c r="J20" s="10">
        <v>1</v>
      </c>
      <c r="K20" s="24">
        <v>0</v>
      </c>
      <c r="L20" s="22" cm="1">
        <f t="array" ref="L20">K20*4748*(1+0.04+0.4+0.4+$N$5*0.05+SUM($C20:$J20*$C$6:$J$6*$C$5:$J$5))</f>
        <v>0</v>
      </c>
      <c r="M20" s="2">
        <v>1051460</v>
      </c>
      <c r="N20" s="22">
        <f>L20/M20</f>
        <v>0</v>
      </c>
      <c r="O20" s="22">
        <f t="shared" si="1"/>
        <v>1051460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5">
      <c r="A21" s="3" t="s">
        <v>35</v>
      </c>
      <c r="B21" s="2">
        <v>7</v>
      </c>
      <c r="C21" s="5">
        <v>0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10">
        <v>1</v>
      </c>
      <c r="J21" s="10">
        <v>1</v>
      </c>
      <c r="K21" s="24">
        <v>0</v>
      </c>
      <c r="L21" s="22" cm="1">
        <f t="array" ref="L21">K21*4748*(1+0.04+0.4+0.4+$N$5*0.05+SUM($C21:$J21*$C$6:$J$6*$C$5:$J$5))</f>
        <v>0</v>
      </c>
      <c r="M21" s="2">
        <v>803324</v>
      </c>
      <c r="N21" s="22">
        <f t="shared" si="0"/>
        <v>0</v>
      </c>
      <c r="O21" s="22">
        <f t="shared" si="1"/>
        <v>803324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x14ac:dyDescent="0.25">
      <c r="A22" s="3" t="s">
        <v>37</v>
      </c>
      <c r="B22" s="2">
        <v>12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10">
        <v>1</v>
      </c>
      <c r="J22" s="10">
        <v>1</v>
      </c>
      <c r="K22" s="24">
        <v>0</v>
      </c>
      <c r="L22" s="22" cm="1">
        <f t="array" ref="L22">K22*4748*(1+0.04+0.4+0.4+$N$5*0.05+SUM($C22:$J22*$C$6:$J$6*$C$5:$J$5))</f>
        <v>0</v>
      </c>
      <c r="M22" s="2">
        <v>684870</v>
      </c>
      <c r="N22" s="22">
        <f t="shared" si="0"/>
        <v>0</v>
      </c>
      <c r="O22" s="22">
        <f t="shared" si="1"/>
        <v>684870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x14ac:dyDescent="0.25">
      <c r="A23" s="3" t="s">
        <v>38</v>
      </c>
      <c r="B23" s="2">
        <v>7</v>
      </c>
      <c r="C23" s="5">
        <v>0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10">
        <v>1</v>
      </c>
      <c r="J23" s="10">
        <v>1</v>
      </c>
      <c r="K23" s="24">
        <v>1</v>
      </c>
      <c r="L23" s="22" cm="1">
        <f t="array" ref="L23">K23*4748*(1+0.04+0.4+0.4+$N$5*0.05+SUM($C23:$J23*$C$6:$J$6*$C$5:$J$5))</f>
        <v>9923.32</v>
      </c>
      <c r="M23" s="2">
        <v>567726</v>
      </c>
      <c r="N23" s="22">
        <f t="shared" si="0"/>
        <v>1.747906560559143E-2</v>
      </c>
      <c r="O23" s="22">
        <f t="shared" si="1"/>
        <v>369259.6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x14ac:dyDescent="0.25">
      <c r="A24" s="3" t="s">
        <v>39</v>
      </c>
      <c r="B24" s="2">
        <v>12</v>
      </c>
      <c r="C24" s="5">
        <v>0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10">
        <v>1</v>
      </c>
      <c r="J24" s="10">
        <v>1</v>
      </c>
      <c r="K24" s="24">
        <v>1</v>
      </c>
      <c r="L24" s="22" cm="1">
        <f t="array" ref="L24">K24*4748*(1+0.04+0.4+0.4+$N$5*0.05+SUM($C24:$J24*$C$6:$J$6*$C$5:$J$5))</f>
        <v>9923.32</v>
      </c>
      <c r="M24" s="2">
        <v>512842</v>
      </c>
      <c r="N24" s="22">
        <f t="shared" si="0"/>
        <v>1.9349663249109861E-2</v>
      </c>
      <c r="O24" s="22">
        <f t="shared" si="1"/>
        <v>314375.59999999998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x14ac:dyDescent="0.25">
      <c r="A25" s="3" t="s">
        <v>41</v>
      </c>
      <c r="B25" s="2">
        <v>7</v>
      </c>
      <c r="C25" s="5">
        <v>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10">
        <v>1</v>
      </c>
      <c r="J25" s="10">
        <v>1</v>
      </c>
      <c r="K25" s="24">
        <v>0</v>
      </c>
      <c r="L25" s="22" cm="1">
        <f t="array" ref="L25">K25*4748*(1+0.04+0.4+0.4+$N$5*0.05+SUM($C25:$J25*$C$6:$J$6*$C$5:$J$5))</f>
        <v>0</v>
      </c>
      <c r="M25" s="2">
        <v>286112</v>
      </c>
      <c r="N25" s="22">
        <f t="shared" si="0"/>
        <v>0</v>
      </c>
      <c r="O25" s="22">
        <f t="shared" si="1"/>
        <v>286112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x14ac:dyDescent="0.25">
      <c r="A26" s="3" t="s">
        <v>32</v>
      </c>
      <c r="B26" s="2">
        <v>16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10">
        <v>1</v>
      </c>
      <c r="J26" s="10">
        <v>1</v>
      </c>
      <c r="K26" s="24">
        <v>0</v>
      </c>
      <c r="L26" s="22" cm="1">
        <f t="array" ref="L26">K26*4748*(1+0.04+0.4+0.4+$N$5*0.05+SUM($C26:$J26*$C$6:$J$6*$C$5:$J$5))</f>
        <v>0</v>
      </c>
      <c r="M26" s="2">
        <v>911040</v>
      </c>
      <c r="N26" s="22">
        <f t="shared" si="0"/>
        <v>0</v>
      </c>
      <c r="O26" s="22">
        <f t="shared" si="1"/>
        <v>911040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x14ac:dyDescent="0.25">
      <c r="A27" s="3" t="s">
        <v>42</v>
      </c>
      <c r="B27" s="2">
        <v>12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10">
        <v>1</v>
      </c>
      <c r="J27" s="10">
        <v>1</v>
      </c>
      <c r="K27" s="24">
        <v>1</v>
      </c>
      <c r="L27" s="22" cm="1">
        <f t="array" ref="L27">K27*4748*(1+0.04+0.4+0.4+$N$5*0.05+SUM($C27:$J27*$C$6:$J$6*$C$5:$J$5))</f>
        <v>8973.7199999999993</v>
      </c>
      <c r="M27" s="2">
        <v>179321</v>
      </c>
      <c r="N27" s="22">
        <f t="shared" si="0"/>
        <v>5.0042772458328916E-2</v>
      </c>
      <c r="O27" s="22">
        <f t="shared" si="1"/>
        <v>-153.39999999999418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25">
      <c r="A28" s="3" t="s">
        <v>36</v>
      </c>
      <c r="B28" s="2">
        <v>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10">
        <v>1</v>
      </c>
      <c r="J28" s="10">
        <v>1</v>
      </c>
      <c r="K28" s="24">
        <v>0</v>
      </c>
      <c r="L28" s="22" cm="1">
        <f t="array" ref="L28">K28*4748*(1+0.04+0.4+0.4+$N$5*0.05+SUM($C28:$J28*$C$6:$J$6*$C$5:$J$5))</f>
        <v>0</v>
      </c>
      <c r="M28" s="2">
        <v>765398</v>
      </c>
      <c r="N28" s="22">
        <f t="shared" si="0"/>
        <v>0</v>
      </c>
      <c r="O28" s="22">
        <f t="shared" si="1"/>
        <v>765398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3" t="s">
        <v>16</v>
      </c>
      <c r="B29" s="2">
        <v>16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10">
        <v>1</v>
      </c>
      <c r="J29" s="10">
        <v>1</v>
      </c>
      <c r="K29" s="24">
        <v>0</v>
      </c>
      <c r="L29" s="22" cm="1">
        <f t="array" ref="L29">K29*4748*(1+0.04+0.4+0.4+$N$5*0.05+SUM($C29:$J29*$C$6:$J$6*$C$5:$J$5))</f>
        <v>0</v>
      </c>
      <c r="M29" s="2">
        <v>1155750</v>
      </c>
      <c r="N29" s="22">
        <f t="shared" si="0"/>
        <v>0</v>
      </c>
      <c r="O29" s="22">
        <f t="shared" si="1"/>
        <v>1155750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x14ac:dyDescent="0.25">
      <c r="A30" s="3" t="s">
        <v>20</v>
      </c>
      <c r="B30" s="2">
        <v>12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10">
        <v>1</v>
      </c>
      <c r="J30" s="10">
        <v>1</v>
      </c>
      <c r="K30" s="24">
        <v>0</v>
      </c>
      <c r="L30" s="22" cm="1">
        <f t="array" ref="L30">K30*4748*(1+0.04+0.4+0.4+$N$5*0.05+SUM($C30:$J30*$C$6:$J$6*$C$5:$J$5))</f>
        <v>0</v>
      </c>
      <c r="M30" s="2">
        <v>1128693</v>
      </c>
      <c r="N30" s="22">
        <f t="shared" si="0"/>
        <v>0</v>
      </c>
      <c r="O30" s="22">
        <f t="shared" si="1"/>
        <v>1128693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x14ac:dyDescent="0.25">
      <c r="A31" s="3" t="s">
        <v>21</v>
      </c>
      <c r="B31" s="2">
        <v>12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10">
        <v>1</v>
      </c>
      <c r="J31" s="10">
        <v>1</v>
      </c>
      <c r="K31" s="24">
        <v>0</v>
      </c>
      <c r="L31" s="22" cm="1">
        <f t="array" ref="L31">K31*4748*(1+0.04+0.4+0.4+$N$5*0.05+SUM($C31:$J31*$C$6:$J$6*$C$5:$J$5))</f>
        <v>0</v>
      </c>
      <c r="M31" s="2">
        <v>1122401</v>
      </c>
      <c r="N31" s="22">
        <f t="shared" si="0"/>
        <v>0</v>
      </c>
      <c r="O31" s="22">
        <f t="shared" si="1"/>
        <v>1122401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x14ac:dyDescent="0.25">
      <c r="A32" s="3" t="s">
        <v>33</v>
      </c>
      <c r="B32" s="2">
        <v>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10">
        <v>1</v>
      </c>
      <c r="J32" s="10">
        <v>1</v>
      </c>
      <c r="K32" s="24">
        <v>0</v>
      </c>
      <c r="L32" s="22" cm="1">
        <f t="array" ref="L32">K32*4748*(1+0.04+0.4+0.4+$N$5*0.05+SUM($C32:$J32*$C$6:$J$6*$C$5:$J$5))</f>
        <v>0</v>
      </c>
      <c r="M32" s="2">
        <v>861165</v>
      </c>
      <c r="N32" s="22">
        <f t="shared" si="0"/>
        <v>0</v>
      </c>
      <c r="O32" s="22">
        <f t="shared" si="1"/>
        <v>861165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112" spans="30:33" x14ac:dyDescent="0.25">
      <c r="AD112" s="26"/>
      <c r="AE112" s="26"/>
      <c r="AF112" s="26"/>
      <c r="AG112" s="26"/>
    </row>
  </sheetData>
  <phoneticPr fontId="4" type="noConversion"/>
  <conditionalFormatting sqref="C8:J32">
    <cfRule type="cellIs" dxfId="0" priority="2" operator="equal">
      <formula>1</formula>
    </cfRule>
  </conditionalFormatting>
  <conditionalFormatting sqref="M8:M32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Caster冲9绊</vt:lpstr>
      <vt:lpstr>10绊以上Caster</vt:lpstr>
      <vt:lpstr>Sheet2</vt:lpstr>
      <vt:lpstr>Sheet3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展维 赵</cp:lastModifiedBy>
  <dcterms:created xsi:type="dcterms:W3CDTF">2026-10-20T13:09:56Z</dcterms:created>
  <dcterms:modified xsi:type="dcterms:W3CDTF">2026-10-20T16:28:43Z</dcterms:modified>
</cp:coreProperties>
</file>